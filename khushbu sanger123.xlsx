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60A337460BD77147/Documents/"/>
    </mc:Choice>
  </mc:AlternateContent>
  <xr:revisionPtr revIDLastSave="0" documentId="14_{F7BD7A0F-CE4B-4239-B6E7-B6694EB5BDFF}" xr6:coauthVersionLast="47" xr6:coauthVersionMax="47" xr10:uidLastSave="{00000000-0000-0000-0000-000000000000}"/>
  <bookViews>
    <workbookView xWindow="-108" yWindow="-108" windowWidth="23256" windowHeight="12456" activeTab="2" xr2:uid="{00000000-000D-0000-FFFF-FFFF00000000}"/>
  </bookViews>
  <sheets>
    <sheet name="Expense" sheetId="1" r:id="rId1"/>
    <sheet name="Tasks" sheetId="2" r:id="rId2"/>
    <sheet name="Sheet1" sheetId="3" r:id="rId3"/>
  </sheets>
  <definedNames>
    <definedName name="_xlnm._FilterDatabase" localSheetId="0" hidden="1">Expense!$A$1:$D$51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2" i="3" l="1"/>
  <c r="F63" i="3"/>
  <c r="F61"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 r="F38" i="3"/>
  <c r="F37" i="3"/>
  <c r="F36" i="3"/>
  <c r="F35" i="3"/>
  <c r="F33" i="3"/>
  <c r="F32" i="3"/>
  <c r="F31" i="3"/>
  <c r="F30" i="3"/>
  <c r="F29" i="3"/>
  <c r="F28" i="3"/>
  <c r="F39" i="3" s="1"/>
  <c r="F44" i="3"/>
  <c r="F45" i="3"/>
  <c r="F46" i="3"/>
  <c r="F47" i="3"/>
  <c r="F48" i="3"/>
  <c r="F49" i="3"/>
  <c r="F51" i="3"/>
  <c r="F52" i="3"/>
  <c r="F53" i="3"/>
  <c r="F54" i="3"/>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2" i="1"/>
  <c r="F13" i="3"/>
  <c r="F14" i="3"/>
  <c r="F15" i="3"/>
  <c r="F16" i="3"/>
  <c r="F17" i="3"/>
  <c r="F18" i="3"/>
  <c r="F19" i="3"/>
  <c r="F20" i="3"/>
  <c r="F21" i="3"/>
  <c r="F22" i="3"/>
  <c r="F12" i="3"/>
  <c r="F3" i="3"/>
  <c r="F4" i="3"/>
  <c r="F5" i="3"/>
  <c r="D52" i="1"/>
  <c r="F55" i="3" l="1"/>
  <c r="F6" i="3"/>
  <c r="H50" i="3" l="1"/>
  <c r="H44" i="3"/>
  <c r="H45" i="3"/>
  <c r="H46" i="3"/>
  <c r="H47" i="3"/>
  <c r="H48" i="3"/>
  <c r="H49" i="3"/>
  <c r="H51" i="3"/>
  <c r="H53" i="3"/>
  <c r="H54" i="3"/>
  <c r="H52" i="3"/>
</calcChain>
</file>

<file path=xl/sharedStrings.xml><?xml version="1.0" encoding="utf-8"?>
<sst xmlns="http://schemas.openxmlformats.org/spreadsheetml/2006/main" count="277" uniqueCount="47">
  <si>
    <t>Date</t>
  </si>
  <si>
    <t>Expense</t>
  </si>
  <si>
    <t>Medicine</t>
  </si>
  <si>
    <t>Online shopping</t>
  </si>
  <si>
    <t>Other essential items</t>
  </si>
  <si>
    <t>Vegetables &amp; Fruit</t>
  </si>
  <si>
    <t>Fish &amp; Chicken</t>
  </si>
  <si>
    <t>Ordering food</t>
  </si>
  <si>
    <t>Movie with friends</t>
  </si>
  <si>
    <t>Cab to office</t>
  </si>
  <si>
    <t>Gifts</t>
  </si>
  <si>
    <t>Mobile Bill Payment</t>
  </si>
  <si>
    <t>Trip</t>
  </si>
  <si>
    <t>Online Shopping</t>
  </si>
  <si>
    <t>Items</t>
  </si>
  <si>
    <t>How many times has Priya done transactions on online shopping, ordering food and gifts?</t>
  </si>
  <si>
    <t>Calculate the total expenses against each distinct item.</t>
  </si>
  <si>
    <t>Arrange the item-wise total expense in descending order.</t>
  </si>
  <si>
    <t>Present the item-wise total expense through a chart that shows the expense of each item as a percentage of the total expense. Don’t take trip expenses into consideration.</t>
  </si>
  <si>
    <t>Present the expense pattern visually over 3 months.</t>
  </si>
  <si>
    <t>Add a new column to the data table, name it as “Category” and apply data validation with drop-down fields as “Essentials” and “Non-essentials”. Fill in the column.</t>
  </si>
  <si>
    <t>Add another new column and name it as “Cost Type”. For each item, if the expense is more than 2000, tag it as “Over budget”, else, tag it as “Within budget”.</t>
  </si>
  <si>
    <t>Mention the ways how Priya can reduce her expenses. Justify each point.</t>
  </si>
  <si>
    <t>Task to Perform</t>
  </si>
  <si>
    <t>Total Expense</t>
  </si>
  <si>
    <t>Category</t>
  </si>
  <si>
    <t>Essential</t>
  </si>
  <si>
    <t>Non-Essential</t>
  </si>
  <si>
    <t>Cost Type</t>
  </si>
  <si>
    <t>create a table to show item wise total expense</t>
  </si>
  <si>
    <t>Q1. How many times has Priya done transactions on online shopping, ordering food and gifts?</t>
  </si>
  <si>
    <t>Q2. Calculate the total expenses against each distinct item.</t>
  </si>
  <si>
    <t>Gifts :</t>
  </si>
  <si>
    <t>Online shopping:</t>
  </si>
  <si>
    <t>Ordering food:</t>
  </si>
  <si>
    <t>Total</t>
  </si>
  <si>
    <t>Q3-Arrange the item-wise total expense in descending order.</t>
  </si>
  <si>
    <t>Q4-Present the item-wise total expense through a chart that shows the expense of each item as a percentage of the total expense. Don’t take trip expenses into consideration.</t>
  </si>
  <si>
    <t>Iteams</t>
  </si>
  <si>
    <t>Percentage</t>
  </si>
  <si>
    <t>Q5-Present the expense pattern visually over 3 months.</t>
  </si>
  <si>
    <t>Month</t>
  </si>
  <si>
    <t>October</t>
  </si>
  <si>
    <t>November</t>
  </si>
  <si>
    <t>December</t>
  </si>
  <si>
    <t>Non Essential</t>
  </si>
  <si>
    <t>Q6-Add a new column to the data table, name it as “Category” and apply data validation with drop-down fields as “Essentials” and “Non-essentials”. Fill in the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</si>
</sst>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Calibri"/>
      <family val="2"/>
      <scheme val="minor"/>
    </font>
    <font>
      <b/>
      <sz val="11"/>
      <color rgb="FF003F81"/>
      <name val="Verdana"/>
      <family val="2"/>
    </font>
    <font>
      <sz val="11"/>
      <color rgb="FF000000"/>
      <name val="Verdana"/>
      <family val="2"/>
    </font>
    <font>
      <sz val="24"/>
      <color theme="1"/>
      <name val="Calibri"/>
      <family val="2"/>
      <scheme val="minor"/>
    </font>
    <font>
      <b/>
      <sz val="11"/>
      <color theme="1"/>
      <name val="Calibri"/>
      <family val="2"/>
      <scheme val="minor"/>
    </font>
    <font>
      <b/>
      <sz val="18"/>
      <color theme="1"/>
      <name val="Calibri"/>
      <family val="2"/>
      <scheme val="minor"/>
    </font>
    <font>
      <b/>
      <sz val="20"/>
      <color theme="1"/>
      <name val="Calibri"/>
      <family val="2"/>
      <scheme val="minor"/>
    </font>
    <font>
      <b/>
      <sz val="14"/>
      <color theme="4" tint="-0.249977111117893"/>
      <name val="Calibri"/>
      <family val="2"/>
      <scheme val="minor"/>
    </font>
    <font>
      <sz val="11"/>
      <color theme="1"/>
      <name val="Calibri"/>
      <family val="2"/>
      <scheme val="minor"/>
    </font>
    <font>
      <sz val="18"/>
      <color theme="1"/>
      <name val="Calibri"/>
      <family val="2"/>
      <scheme val="minor"/>
    </font>
    <font>
      <sz val="20"/>
      <color theme="1"/>
      <name val="Calibri"/>
      <family val="2"/>
      <scheme val="minor"/>
    </font>
    <font>
      <b/>
      <sz val="18"/>
      <color rgb="FF003F81"/>
      <name val="Verdana"/>
      <family val="2"/>
    </font>
    <font>
      <b/>
      <sz val="14"/>
      <color rgb="FF000000"/>
      <name val="Verdana"/>
      <family val="2"/>
    </font>
    <font>
      <sz val="16"/>
      <color theme="1"/>
      <name val="Calibri"/>
      <family val="2"/>
      <scheme val="minor"/>
    </font>
    <font>
      <sz val="16"/>
      <color rgb="FF000000"/>
      <name val="Verdana"/>
      <family val="2"/>
    </font>
    <font>
      <b/>
      <sz val="16"/>
      <color theme="8"/>
      <name val="Calibri"/>
      <family val="2"/>
      <scheme val="minor"/>
    </font>
    <font>
      <sz val="22"/>
      <color theme="1"/>
      <name val="Calibri"/>
      <family val="2"/>
      <scheme val="minor"/>
    </font>
    <font>
      <b/>
      <sz val="16"/>
      <color rgb="FF003F81"/>
      <name val="Verdana"/>
      <family val="2"/>
    </font>
    <font>
      <sz val="11"/>
      <color rgb="FF000000"/>
      <name val="Calibri"/>
      <family val="2"/>
      <scheme val="minor"/>
    </font>
    <font>
      <b/>
      <sz val="14"/>
      <color theme="1"/>
      <name val="Calibri"/>
      <family val="2"/>
      <scheme val="minor"/>
    </font>
  </fonts>
  <fills count="15">
    <fill>
      <patternFill patternType="none"/>
    </fill>
    <fill>
      <patternFill patternType="gray125"/>
    </fill>
    <fill>
      <patternFill patternType="solid">
        <fgColor rgb="FFFFFFFF"/>
        <bgColor indexed="64"/>
      </patternFill>
    </fill>
    <fill>
      <patternFill patternType="solid">
        <fgColor rgb="FFF7F6F6"/>
        <bgColor indexed="64"/>
      </patternFill>
    </fill>
    <fill>
      <patternFill patternType="solid">
        <fgColor theme="0"/>
        <bgColor indexed="64"/>
      </patternFill>
    </fill>
    <fill>
      <patternFill patternType="solid">
        <fgColor rgb="FFFFFF00"/>
        <bgColor indexed="64"/>
      </patternFill>
    </fill>
    <fill>
      <patternFill patternType="solid">
        <fgColor theme="5"/>
        <bgColor indexed="64"/>
      </patternFill>
    </fill>
    <fill>
      <patternFill patternType="solid">
        <fgColor theme="7"/>
        <bgColor indexed="64"/>
      </patternFill>
    </fill>
    <fill>
      <patternFill patternType="solid">
        <fgColor theme="4"/>
        <bgColor indexed="64"/>
      </patternFill>
    </fill>
    <fill>
      <patternFill patternType="solid">
        <fgColor rgb="FFFF9999"/>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7" tint="0.59999389629810485"/>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9" fillId="0" borderId="0" applyFont="0" applyFill="0" applyBorder="0" applyAlignment="0" applyProtection="0"/>
  </cellStyleXfs>
  <cellXfs count="66">
    <xf numFmtId="0" fontId="0" fillId="0" borderId="0" xfId="0"/>
    <xf numFmtId="0" fontId="1" fillId="0" borderId="0" xfId="0" applyFont="1" applyAlignment="1">
      <alignment vertical="center"/>
    </xf>
    <xf numFmtId="0" fontId="4" fillId="0" borderId="0" xfId="0" applyFont="1" applyAlignment="1">
      <alignment vertical="center"/>
    </xf>
    <xf numFmtId="0" fontId="2"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14" fontId="3" fillId="3" borderId="1" xfId="0" applyNumberFormat="1" applyFont="1" applyFill="1" applyBorder="1" applyAlignment="1">
      <alignment horizontal="center" vertical="center" wrapText="1"/>
    </xf>
    <xf numFmtId="0" fontId="3"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4" fontId="3" fillId="4" borderId="1" xfId="0" applyNumberFormat="1" applyFont="1" applyFill="1" applyBorder="1" applyAlignment="1">
      <alignment horizontal="right" vertical="center" wrapText="1"/>
    </xf>
    <xf numFmtId="0" fontId="0" fillId="4" borderId="0" xfId="0" applyFill="1" applyAlignment="1">
      <alignment horizontal="right"/>
    </xf>
    <xf numFmtId="0" fontId="5" fillId="5" borderId="1" xfId="0" applyFont="1" applyFill="1" applyBorder="1" applyAlignment="1">
      <alignment horizontal="center"/>
    </xf>
    <xf numFmtId="0" fontId="0" fillId="0" borderId="1" xfId="0" applyBorder="1" applyAlignment="1">
      <alignment vertical="center" wrapText="1"/>
    </xf>
    <xf numFmtId="0" fontId="6" fillId="0" borderId="0" xfId="0" applyFont="1" applyAlignment="1">
      <alignment vertical="center"/>
    </xf>
    <xf numFmtId="0" fontId="8" fillId="0" borderId="0" xfId="0" applyFont="1"/>
    <xf numFmtId="0" fontId="10" fillId="6" borderId="1" xfId="0" applyFont="1" applyFill="1" applyBorder="1"/>
    <xf numFmtId="0" fontId="10" fillId="0" borderId="0" xfId="0" applyFont="1"/>
    <xf numFmtId="0" fontId="12" fillId="9" borderId="1" xfId="0" applyFont="1" applyFill="1" applyBorder="1" applyAlignment="1">
      <alignment horizontal="center" vertical="center" wrapText="1"/>
    </xf>
    <xf numFmtId="0" fontId="13" fillId="9" borderId="1" xfId="0" applyFont="1" applyFill="1" applyBorder="1" applyAlignment="1">
      <alignment vertical="center" wrapText="1"/>
    </xf>
    <xf numFmtId="0" fontId="11" fillId="0" borderId="0" xfId="0" applyFont="1"/>
    <xf numFmtId="0" fontId="15" fillId="11" borderId="1" xfId="0" applyFont="1" applyFill="1" applyBorder="1" applyAlignment="1">
      <alignment vertical="center" wrapText="1"/>
    </xf>
    <xf numFmtId="0" fontId="16" fillId="11" borderId="1" xfId="0" applyFont="1" applyFill="1" applyBorder="1"/>
    <xf numFmtId="0" fontId="18" fillId="9" borderId="1" xfId="0" applyFont="1" applyFill="1" applyBorder="1" applyAlignment="1">
      <alignment horizontal="center" vertical="center" wrapText="1"/>
    </xf>
    <xf numFmtId="14" fontId="3" fillId="9" borderId="1" xfId="0" applyNumberFormat="1" applyFont="1" applyFill="1" applyBorder="1" applyAlignment="1">
      <alignment horizontal="center" vertical="center" wrapText="1"/>
    </xf>
    <xf numFmtId="0" fontId="8" fillId="9" borderId="1" xfId="0" applyFont="1" applyFill="1" applyBorder="1"/>
    <xf numFmtId="0" fontId="0" fillId="9" borderId="1" xfId="0" applyFill="1" applyBorder="1" applyAlignment="1">
      <alignment horizontal="center"/>
    </xf>
    <xf numFmtId="0" fontId="0" fillId="9" borderId="3" xfId="0" applyFill="1" applyBorder="1" applyAlignment="1">
      <alignment horizontal="center"/>
    </xf>
    <xf numFmtId="0" fontId="0" fillId="9" borderId="4" xfId="0" applyFill="1" applyBorder="1" applyAlignment="1">
      <alignment horizontal="center"/>
    </xf>
    <xf numFmtId="0" fontId="0" fillId="14" borderId="1" xfId="0" applyFill="1" applyBorder="1"/>
    <xf numFmtId="14" fontId="3" fillId="14" borderId="1" xfId="0" applyNumberFormat="1" applyFont="1" applyFill="1" applyBorder="1" applyAlignment="1">
      <alignment horizontal="center" vertical="center" wrapText="1"/>
    </xf>
    <xf numFmtId="14" fontId="13" fillId="14" borderId="1" xfId="0" applyNumberFormat="1" applyFont="1" applyFill="1" applyBorder="1" applyAlignment="1">
      <alignment horizontal="center" vertical="center" wrapText="1"/>
    </xf>
    <xf numFmtId="0" fontId="20" fillId="14" borderId="1" xfId="0" applyFont="1" applyFill="1" applyBorder="1"/>
    <xf numFmtId="0" fontId="19" fillId="14" borderId="1" xfId="0" applyFont="1" applyFill="1" applyBorder="1" applyAlignment="1">
      <alignment wrapText="1"/>
    </xf>
    <xf numFmtId="0" fontId="0" fillId="14" borderId="1" xfId="0" applyFill="1" applyBorder="1"/>
    <xf numFmtId="0" fontId="3" fillId="9" borderId="3" xfId="0" applyFont="1" applyFill="1" applyBorder="1" applyAlignment="1">
      <alignment vertical="center" wrapText="1"/>
    </xf>
    <xf numFmtId="0" fontId="3" fillId="9" borderId="5" xfId="0" applyFont="1" applyFill="1" applyBorder="1" applyAlignment="1">
      <alignment vertical="center" wrapText="1"/>
    </xf>
    <xf numFmtId="0" fontId="3" fillId="9" borderId="4" xfId="0" applyFont="1" applyFill="1" applyBorder="1" applyAlignment="1">
      <alignment vertical="center" wrapText="1"/>
    </xf>
    <xf numFmtId="0" fontId="0" fillId="9" borderId="3" xfId="0" applyFill="1" applyBorder="1" applyAlignment="1">
      <alignment horizontal="center"/>
    </xf>
    <xf numFmtId="0" fontId="0" fillId="9" borderId="5" xfId="0" applyFill="1" applyBorder="1" applyAlignment="1">
      <alignment horizontal="center"/>
    </xf>
    <xf numFmtId="0" fontId="0" fillId="9" borderId="4" xfId="0" applyFill="1" applyBorder="1" applyAlignment="1">
      <alignment horizontal="center"/>
    </xf>
    <xf numFmtId="0" fontId="3" fillId="9" borderId="3" xfId="0" applyFont="1" applyFill="1" applyBorder="1" applyAlignment="1">
      <alignment horizontal="right" vertical="center" wrapText="1"/>
    </xf>
    <xf numFmtId="0" fontId="3" fillId="9" borderId="4" xfId="0" applyFont="1" applyFill="1" applyBorder="1" applyAlignment="1">
      <alignment horizontal="right" vertical="center" wrapText="1"/>
    </xf>
    <xf numFmtId="0" fontId="18" fillId="9" borderId="1" xfId="0" applyFont="1" applyFill="1" applyBorder="1" applyAlignment="1">
      <alignment horizontal="center" vertical="center" wrapText="1"/>
    </xf>
    <xf numFmtId="0" fontId="8" fillId="9" borderId="1" xfId="0" applyFont="1" applyFill="1" applyBorder="1"/>
    <xf numFmtId="4" fontId="3" fillId="9" borderId="3" xfId="0" applyNumberFormat="1" applyFont="1" applyFill="1" applyBorder="1" applyAlignment="1">
      <alignment horizontal="right" vertical="center" wrapText="1"/>
    </xf>
    <xf numFmtId="4" fontId="3" fillId="9" borderId="4" xfId="0" applyNumberFormat="1" applyFont="1" applyFill="1" applyBorder="1" applyAlignment="1">
      <alignment horizontal="right" vertical="center" wrapText="1"/>
    </xf>
    <xf numFmtId="0" fontId="14" fillId="11" borderId="3" xfId="0" applyFont="1" applyFill="1" applyBorder="1"/>
    <xf numFmtId="0" fontId="14" fillId="11" borderId="4" xfId="0" applyFont="1" applyFill="1" applyBorder="1"/>
    <xf numFmtId="0" fontId="14" fillId="13" borderId="0" xfId="0" applyFont="1" applyFill="1" applyAlignment="1">
      <alignment horizontal="center" wrapText="1"/>
    </xf>
    <xf numFmtId="9" fontId="14" fillId="11" borderId="3" xfId="1" applyFont="1" applyFill="1" applyBorder="1"/>
    <xf numFmtId="9" fontId="14" fillId="11" borderId="4" xfId="1" applyFont="1" applyFill="1" applyBorder="1"/>
    <xf numFmtId="0" fontId="17" fillId="12" borderId="0" xfId="0" applyFont="1" applyFill="1" applyAlignment="1">
      <alignment horizontal="center"/>
    </xf>
    <xf numFmtId="0" fontId="6" fillId="7" borderId="2" xfId="0" applyFont="1" applyFill="1" applyBorder="1" applyAlignment="1">
      <alignment horizontal="center" vertical="center"/>
    </xf>
    <xf numFmtId="0" fontId="6" fillId="7" borderId="0" xfId="0" applyFont="1" applyFill="1" applyAlignment="1">
      <alignment horizontal="center" vertical="center"/>
    </xf>
    <xf numFmtId="0" fontId="6" fillId="8" borderId="2" xfId="0" applyFont="1" applyFill="1" applyBorder="1" applyAlignment="1">
      <alignment horizontal="center" vertical="center"/>
    </xf>
    <xf numFmtId="0" fontId="6" fillId="8" borderId="0" xfId="0" applyFont="1" applyFill="1" applyAlignment="1">
      <alignment horizontal="center" vertical="center"/>
    </xf>
    <xf numFmtId="0" fontId="1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13" fillId="9" borderId="3" xfId="0" applyFont="1" applyFill="1" applyBorder="1" applyAlignment="1">
      <alignment vertical="center" wrapText="1"/>
    </xf>
    <xf numFmtId="0" fontId="13" fillId="9" borderId="4" xfId="0" applyFont="1" applyFill="1" applyBorder="1" applyAlignment="1">
      <alignment vertical="center" wrapText="1"/>
    </xf>
    <xf numFmtId="0" fontId="7" fillId="5" borderId="0" xfId="0" applyFont="1" applyFill="1" applyAlignment="1">
      <alignment horizontal="center"/>
    </xf>
    <xf numFmtId="0" fontId="16" fillId="11" borderId="3" xfId="0" applyFont="1" applyFill="1" applyBorder="1"/>
    <xf numFmtId="0" fontId="16" fillId="11" borderId="4" xfId="0" applyFont="1" applyFill="1" applyBorder="1"/>
    <xf numFmtId="0" fontId="10" fillId="10" borderId="0" xfId="0" applyFont="1" applyFill="1" applyAlignment="1">
      <alignment horizontal="center" wrapText="1"/>
    </xf>
    <xf numFmtId="0" fontId="11" fillId="10" borderId="0" xfId="0" applyFont="1" applyFill="1" applyAlignment="1">
      <alignment horizontal="center" wrapText="1"/>
    </xf>
  </cellXfs>
  <cellStyles count="2">
    <cellStyle name="Normal" xfId="0" builtinId="0"/>
    <cellStyle name="Percent" xfId="1" builtinId="5"/>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extLst>
                <c:ext xmlns:c15="http://schemas.microsoft.com/office/drawing/2012/chart" uri="{02D57815-91ED-43cb-92C2-25804820EDAC}">
                  <c15:fullRef>
                    <c15:sqref>Sheet1!$E$43:$E$55</c15:sqref>
                  </c15:fullRef>
                </c:ext>
              </c:extLst>
              <c:f>Sheet1!$E$44:$E$55</c:f>
              <c:strCache>
                <c:ptCount val="12"/>
                <c:pt idx="0">
                  <c:v>Vegetables &amp; Fruit</c:v>
                </c:pt>
                <c:pt idx="1">
                  <c:v>Trip</c:v>
                </c:pt>
                <c:pt idx="2">
                  <c:v>Other essential items</c:v>
                </c:pt>
                <c:pt idx="3">
                  <c:v>Ordering food</c:v>
                </c:pt>
                <c:pt idx="4">
                  <c:v>Online shopping</c:v>
                </c:pt>
                <c:pt idx="5">
                  <c:v>Movie with friends</c:v>
                </c:pt>
                <c:pt idx="6">
                  <c:v>Mobile Bill Payment</c:v>
                </c:pt>
                <c:pt idx="7">
                  <c:v>Medicine</c:v>
                </c:pt>
                <c:pt idx="8">
                  <c:v>Gifts</c:v>
                </c:pt>
                <c:pt idx="9">
                  <c:v>Fish &amp; Chicken</c:v>
                </c:pt>
                <c:pt idx="10">
                  <c:v>Cab to office</c:v>
                </c:pt>
                <c:pt idx="11">
                  <c:v>Total Expense</c:v>
                </c:pt>
              </c:strCache>
            </c:strRef>
          </c:cat>
          <c:val>
            <c:numRef>
              <c:extLst>
                <c:ext xmlns:c15="http://schemas.microsoft.com/office/drawing/2012/chart" uri="{02D57815-91ED-43cb-92C2-25804820EDAC}">
                  <c15:fullRef>
                    <c15:sqref>Sheet1!$F$43:$F$55</c15:sqref>
                  </c15:fullRef>
                </c:ext>
              </c:extLst>
              <c:f>Sheet1!$F$44:$F$55</c:f>
              <c:numCache>
                <c:formatCode>General</c:formatCode>
                <c:ptCount val="12"/>
                <c:pt idx="0">
                  <c:v>1857</c:v>
                </c:pt>
                <c:pt idx="1">
                  <c:v>1510.9099999999999</c:v>
                </c:pt>
                <c:pt idx="2">
                  <c:v>10194.1</c:v>
                </c:pt>
                <c:pt idx="3">
                  <c:v>1411.26</c:v>
                </c:pt>
                <c:pt idx="4">
                  <c:v>12000</c:v>
                </c:pt>
                <c:pt idx="5">
                  <c:v>7775</c:v>
                </c:pt>
                <c:pt idx="6">
                  <c:v>5688</c:v>
                </c:pt>
                <c:pt idx="7">
                  <c:v>3217</c:v>
                </c:pt>
                <c:pt idx="8">
                  <c:v>2586</c:v>
                </c:pt>
                <c:pt idx="9">
                  <c:v>7464</c:v>
                </c:pt>
                <c:pt idx="10">
                  <c:v>3342</c:v>
                </c:pt>
                <c:pt idx="11">
                  <c:v>57045.270000000004</c:v>
                </c:pt>
              </c:numCache>
            </c:numRef>
          </c:val>
          <c:extLst>
            <c:ext xmlns:c16="http://schemas.microsoft.com/office/drawing/2014/chart" uri="{C3380CC4-5D6E-409C-BE32-E72D297353CC}">
              <c16:uniqueId val="{00000000-68CD-4CC0-8FA3-95825E2EFCBA}"/>
            </c:ext>
          </c:extLst>
        </c:ser>
        <c:ser>
          <c:idx val="1"/>
          <c:order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extLst>
                <c:ext xmlns:c15="http://schemas.microsoft.com/office/drawing/2012/chart" uri="{02D57815-91ED-43cb-92C2-25804820EDAC}">
                  <c15:fullRef>
                    <c15:sqref>Sheet1!$E$43:$E$55</c15:sqref>
                  </c15:fullRef>
                </c:ext>
              </c:extLst>
              <c:f>Sheet1!$E$44:$E$55</c:f>
              <c:strCache>
                <c:ptCount val="12"/>
                <c:pt idx="0">
                  <c:v>Vegetables &amp; Fruit</c:v>
                </c:pt>
                <c:pt idx="1">
                  <c:v>Trip</c:v>
                </c:pt>
                <c:pt idx="2">
                  <c:v>Other essential items</c:v>
                </c:pt>
                <c:pt idx="3">
                  <c:v>Ordering food</c:v>
                </c:pt>
                <c:pt idx="4">
                  <c:v>Online shopping</c:v>
                </c:pt>
                <c:pt idx="5">
                  <c:v>Movie with friends</c:v>
                </c:pt>
                <c:pt idx="6">
                  <c:v>Mobile Bill Payment</c:v>
                </c:pt>
                <c:pt idx="7">
                  <c:v>Medicine</c:v>
                </c:pt>
                <c:pt idx="8">
                  <c:v>Gifts</c:v>
                </c:pt>
                <c:pt idx="9">
                  <c:v>Fish &amp; Chicken</c:v>
                </c:pt>
                <c:pt idx="10">
                  <c:v>Cab to office</c:v>
                </c:pt>
                <c:pt idx="11">
                  <c:v>Total Expense</c:v>
                </c:pt>
              </c:strCache>
            </c:strRef>
          </c:cat>
          <c:val>
            <c:numRef>
              <c:extLst>
                <c:ext xmlns:c15="http://schemas.microsoft.com/office/drawing/2012/chart" uri="{02D57815-91ED-43cb-92C2-25804820EDAC}">
                  <c15:fullRef>
                    <c15:sqref>Sheet1!$G$43:$G$55</c15:sqref>
                  </c15:fullRef>
                </c:ext>
              </c:extLst>
              <c:f>Sheet1!$G$44:$G$55</c:f>
              <c:numCache>
                <c:formatCode>General</c:formatCode>
                <c:ptCount val="12"/>
              </c:numCache>
            </c:numRef>
          </c:val>
          <c:extLst>
            <c:ext xmlns:c16="http://schemas.microsoft.com/office/drawing/2014/chart" uri="{C3380CC4-5D6E-409C-BE32-E72D297353CC}">
              <c16:uniqueId val="{00000001-68CD-4CC0-8FA3-95825E2EFCBA}"/>
            </c:ext>
          </c:extLst>
        </c:ser>
        <c:ser>
          <c:idx val="2"/>
          <c:order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extLst>
                <c:ext xmlns:c15="http://schemas.microsoft.com/office/drawing/2012/chart" uri="{02D57815-91ED-43cb-92C2-25804820EDAC}">
                  <c15:fullRef>
                    <c15:sqref>Sheet1!$E$43:$E$55</c15:sqref>
                  </c15:fullRef>
                </c:ext>
              </c:extLst>
              <c:f>Sheet1!$E$44:$E$55</c:f>
              <c:strCache>
                <c:ptCount val="12"/>
                <c:pt idx="0">
                  <c:v>Vegetables &amp; Fruit</c:v>
                </c:pt>
                <c:pt idx="1">
                  <c:v>Trip</c:v>
                </c:pt>
                <c:pt idx="2">
                  <c:v>Other essential items</c:v>
                </c:pt>
                <c:pt idx="3">
                  <c:v>Ordering food</c:v>
                </c:pt>
                <c:pt idx="4">
                  <c:v>Online shopping</c:v>
                </c:pt>
                <c:pt idx="5">
                  <c:v>Movie with friends</c:v>
                </c:pt>
                <c:pt idx="6">
                  <c:v>Mobile Bill Payment</c:v>
                </c:pt>
                <c:pt idx="7">
                  <c:v>Medicine</c:v>
                </c:pt>
                <c:pt idx="8">
                  <c:v>Gifts</c:v>
                </c:pt>
                <c:pt idx="9">
                  <c:v>Fish &amp; Chicken</c:v>
                </c:pt>
                <c:pt idx="10">
                  <c:v>Cab to office</c:v>
                </c:pt>
                <c:pt idx="11">
                  <c:v>Total Expense</c:v>
                </c:pt>
              </c:strCache>
            </c:strRef>
          </c:cat>
          <c:val>
            <c:numRef>
              <c:extLst>
                <c:ext xmlns:c15="http://schemas.microsoft.com/office/drawing/2012/chart" uri="{02D57815-91ED-43cb-92C2-25804820EDAC}">
                  <c15:fullRef>
                    <c15:sqref>Sheet1!$H$43:$H$55</c15:sqref>
                  </c15:fullRef>
                </c:ext>
              </c:extLst>
              <c:f>Sheet1!$H$44:$H$55</c:f>
              <c:numCache>
                <c:formatCode>0%</c:formatCode>
                <c:ptCount val="12"/>
                <c:pt idx="0">
                  <c:v>3.255309335901118E-2</c:v>
                </c:pt>
                <c:pt idx="1">
                  <c:v>2.6486157397449424E-2</c:v>
                </c:pt>
                <c:pt idx="2">
                  <c:v>0.17870193269310497</c:v>
                </c:pt>
                <c:pt idx="3">
                  <c:v>2.4739299156617191E-2</c:v>
                </c:pt>
                <c:pt idx="4">
                  <c:v>0.2103592462617847</c:v>
                </c:pt>
                <c:pt idx="5">
                  <c:v>0.136295261640448</c:v>
                </c:pt>
                <c:pt idx="6">
                  <c:v>9.971028272808595E-2</c:v>
                </c:pt>
                <c:pt idx="7">
                  <c:v>5.6393807935346783E-2</c:v>
                </c:pt>
                <c:pt idx="8">
                  <c:v>4.5332417569414606E-2</c:v>
                </c:pt>
                <c:pt idx="9">
                  <c:v>0.13084345117483009</c:v>
                </c:pt>
                <c:pt idx="10">
                  <c:v>5.8585050083907041E-2</c:v>
                </c:pt>
              </c:numCache>
            </c:numRef>
          </c:val>
          <c:extLst>
            <c:ext xmlns:c16="http://schemas.microsoft.com/office/drawing/2014/chart" uri="{C3380CC4-5D6E-409C-BE32-E72D297353CC}">
              <c16:uniqueId val="{00000002-68CD-4CC0-8FA3-95825E2EFCBA}"/>
            </c:ext>
          </c:extLst>
        </c:ser>
        <c:ser>
          <c:idx val="3"/>
          <c:order val="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extLst>
                <c:ext xmlns:c15="http://schemas.microsoft.com/office/drawing/2012/chart" uri="{02D57815-91ED-43cb-92C2-25804820EDAC}">
                  <c15:fullRef>
                    <c15:sqref>Sheet1!$E$43:$E$55</c15:sqref>
                  </c15:fullRef>
                </c:ext>
              </c:extLst>
              <c:f>Sheet1!$E$44:$E$55</c:f>
              <c:strCache>
                <c:ptCount val="12"/>
                <c:pt idx="0">
                  <c:v>Vegetables &amp; Fruit</c:v>
                </c:pt>
                <c:pt idx="1">
                  <c:v>Trip</c:v>
                </c:pt>
                <c:pt idx="2">
                  <c:v>Other essential items</c:v>
                </c:pt>
                <c:pt idx="3">
                  <c:v>Ordering food</c:v>
                </c:pt>
                <c:pt idx="4">
                  <c:v>Online shopping</c:v>
                </c:pt>
                <c:pt idx="5">
                  <c:v>Movie with friends</c:v>
                </c:pt>
                <c:pt idx="6">
                  <c:v>Mobile Bill Payment</c:v>
                </c:pt>
                <c:pt idx="7">
                  <c:v>Medicine</c:v>
                </c:pt>
                <c:pt idx="8">
                  <c:v>Gifts</c:v>
                </c:pt>
                <c:pt idx="9">
                  <c:v>Fish &amp; Chicken</c:v>
                </c:pt>
                <c:pt idx="10">
                  <c:v>Cab to office</c:v>
                </c:pt>
                <c:pt idx="11">
                  <c:v>Total Expense</c:v>
                </c:pt>
              </c:strCache>
            </c:strRef>
          </c:cat>
          <c:val>
            <c:numRef>
              <c:extLst>
                <c:ext xmlns:c15="http://schemas.microsoft.com/office/drawing/2012/chart" uri="{02D57815-91ED-43cb-92C2-25804820EDAC}">
                  <c15:fullRef>
                    <c15:sqref>Sheet1!$I$43:$I$55</c15:sqref>
                  </c15:fullRef>
                </c:ext>
              </c:extLst>
              <c:f>Sheet1!$I$44:$I$55</c:f>
              <c:numCache>
                <c:formatCode>0%</c:formatCode>
                <c:ptCount val="12"/>
              </c:numCache>
            </c:numRef>
          </c:val>
          <c:extLst>
            <c:ext xmlns:c16="http://schemas.microsoft.com/office/drawing/2014/chart" uri="{C3380CC4-5D6E-409C-BE32-E72D297353CC}">
              <c16:uniqueId val="{00000003-68CD-4CC0-8FA3-95825E2EFCBA}"/>
            </c:ext>
          </c:extLst>
        </c:ser>
        <c:dLbls>
          <c:showLegendKey val="0"/>
          <c:showVal val="0"/>
          <c:showCatName val="0"/>
          <c:showSerName val="0"/>
          <c:showPercent val="0"/>
          <c:showBubbleSize val="0"/>
        </c:dLbls>
        <c:gapWidth val="150"/>
        <c:shape val="box"/>
        <c:axId val="1059889119"/>
        <c:axId val="1059889599"/>
        <c:axId val="0"/>
      </c:bar3DChart>
      <c:catAx>
        <c:axId val="10598891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Iteams</a:t>
                </a:r>
              </a:p>
            </c:rich>
          </c:tx>
          <c:overlay val="0"/>
          <c:spPr>
            <a:noFill/>
            <a:ln w="25400">
              <a:solidFill>
                <a:srgbClr val="0070C0"/>
              </a:solid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889599"/>
        <c:crosses val="autoZero"/>
        <c:auto val="1"/>
        <c:lblAlgn val="ctr"/>
        <c:lblOffset val="100"/>
        <c:noMultiLvlLbl val="0"/>
      </c:catAx>
      <c:valAx>
        <c:axId val="1059889599"/>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Expense</a:t>
                </a:r>
              </a:p>
            </c:rich>
          </c:tx>
          <c:overlay val="0"/>
          <c:spPr>
            <a:noFill/>
            <a:ln w="25400">
              <a:solidFill>
                <a:srgbClr val="0070C0"/>
              </a:solid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88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481263</xdr:colOff>
      <xdr:row>43</xdr:row>
      <xdr:rowOff>208548</xdr:rowOff>
    </xdr:from>
    <xdr:to>
      <xdr:col>19</xdr:col>
      <xdr:colOff>176463</xdr:colOff>
      <xdr:row>51</xdr:row>
      <xdr:rowOff>112296</xdr:rowOff>
    </xdr:to>
    <xdr:graphicFrame macro="">
      <xdr:nvGraphicFramePr>
        <xdr:cNvPr id="2" name="Chart 1">
          <a:extLst>
            <a:ext uri="{FF2B5EF4-FFF2-40B4-BE49-F238E27FC236}">
              <a16:creationId xmlns:a16="http://schemas.microsoft.com/office/drawing/2014/main" id="{7B51F15B-4D23-9A21-3733-5CF6CF052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60</xdr:row>
      <xdr:rowOff>0</xdr:rowOff>
    </xdr:from>
    <xdr:to>
      <xdr:col>18</xdr:col>
      <xdr:colOff>335280</xdr:colOff>
      <xdr:row>72</xdr:row>
      <xdr:rowOff>198120</xdr:rowOff>
    </xdr:to>
    <xdr:pic>
      <xdr:nvPicPr>
        <xdr:cNvPr id="4" name="Picture 3">
          <a:extLst>
            <a:ext uri="{FF2B5EF4-FFF2-40B4-BE49-F238E27FC236}">
              <a16:creationId xmlns:a16="http://schemas.microsoft.com/office/drawing/2014/main" id="{7911425F-ECD6-03D0-4BFB-1369BFA1CA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96100" y="17937480"/>
          <a:ext cx="6202680" cy="2545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topLeftCell="C45" zoomScale="160" zoomScaleNormal="160" workbookViewId="0">
      <selection activeCell="E1" sqref="E1:E51"/>
    </sheetView>
  </sheetViews>
  <sheetFormatPr defaultRowHeight="14.4" x14ac:dyDescent="0.3"/>
  <cols>
    <col min="1" max="1" width="13.33203125" bestFit="1" customWidth="1"/>
    <col min="2" max="2" width="13.33203125" customWidth="1"/>
    <col min="3" max="3" width="24.5546875" customWidth="1"/>
    <col min="4" max="4" width="14.44140625" style="11" customWidth="1"/>
    <col min="5" max="5" width="18.77734375" customWidth="1"/>
    <col min="6" max="6" width="13" customWidth="1"/>
  </cols>
  <sheetData>
    <row r="1" spans="1:6" ht="13.2" customHeight="1" x14ac:dyDescent="0.3">
      <c r="A1" s="3" t="s">
        <v>0</v>
      </c>
      <c r="B1" s="3" t="s">
        <v>41</v>
      </c>
      <c r="C1" s="3" t="s">
        <v>38</v>
      </c>
      <c r="D1" s="8" t="s">
        <v>1</v>
      </c>
      <c r="E1" s="8" t="s">
        <v>25</v>
      </c>
      <c r="F1" s="8" t="s">
        <v>28</v>
      </c>
    </row>
    <row r="2" spans="1:6" ht="18" x14ac:dyDescent="0.35">
      <c r="A2" s="4">
        <v>44470</v>
      </c>
      <c r="B2" s="4" t="str">
        <f>TEXT(A2,"mmmm")</f>
        <v>October</v>
      </c>
      <c r="C2" s="5" t="s">
        <v>2</v>
      </c>
      <c r="D2" s="9">
        <v>2300</v>
      </c>
      <c r="E2" s="15" t="s">
        <v>26</v>
      </c>
      <c r="F2" t="str">
        <f>IF(D2&gt;2000,"Over Budget","Whitin Budget")</f>
        <v>Over Budget</v>
      </c>
    </row>
    <row r="3" spans="1:6" ht="18" x14ac:dyDescent="0.35">
      <c r="A3" s="6">
        <v>44470</v>
      </c>
      <c r="B3" s="4" t="str">
        <f t="shared" ref="B3:B51" si="0">TEXT(A3,"mmmm")</f>
        <v>October</v>
      </c>
      <c r="C3" s="7" t="s">
        <v>3</v>
      </c>
      <c r="D3" s="9">
        <v>767</v>
      </c>
      <c r="E3" s="15" t="s">
        <v>45</v>
      </c>
      <c r="F3" t="str">
        <f t="shared" ref="F3:F51" si="1">IF(D3&gt;2000,"Over Budget","Whitin Budget")</f>
        <v>Whitin Budget</v>
      </c>
    </row>
    <row r="4" spans="1:6" ht="18" x14ac:dyDescent="0.35">
      <c r="A4" s="6">
        <v>44470</v>
      </c>
      <c r="B4" s="4" t="str">
        <f t="shared" si="0"/>
        <v>October</v>
      </c>
      <c r="C4" s="7" t="s">
        <v>4</v>
      </c>
      <c r="D4" s="10">
        <v>2500</v>
      </c>
      <c r="E4" s="15" t="s">
        <v>26</v>
      </c>
      <c r="F4" t="str">
        <f t="shared" si="1"/>
        <v>Over Budget</v>
      </c>
    </row>
    <row r="5" spans="1:6" ht="18" x14ac:dyDescent="0.35">
      <c r="A5" s="6">
        <v>44473</v>
      </c>
      <c r="B5" s="4" t="str">
        <f t="shared" si="0"/>
        <v>October</v>
      </c>
      <c r="C5" s="7" t="s">
        <v>5</v>
      </c>
      <c r="D5" s="9">
        <v>710</v>
      </c>
      <c r="E5" s="15" t="s">
        <v>26</v>
      </c>
      <c r="F5" t="str">
        <f t="shared" si="1"/>
        <v>Whitin Budget</v>
      </c>
    </row>
    <row r="6" spans="1:6" ht="18" x14ac:dyDescent="0.35">
      <c r="A6" s="4">
        <v>44473</v>
      </c>
      <c r="B6" s="4" t="str">
        <f t="shared" si="0"/>
        <v>October</v>
      </c>
      <c r="C6" s="5" t="s">
        <v>6</v>
      </c>
      <c r="D6" s="9">
        <v>760</v>
      </c>
      <c r="E6" s="15" t="s">
        <v>27</v>
      </c>
      <c r="F6" t="str">
        <f t="shared" si="1"/>
        <v>Whitin Budget</v>
      </c>
    </row>
    <row r="7" spans="1:6" ht="18" x14ac:dyDescent="0.35">
      <c r="A7" s="6">
        <v>44476</v>
      </c>
      <c r="B7" s="4" t="str">
        <f t="shared" si="0"/>
        <v>October</v>
      </c>
      <c r="C7" s="7" t="s">
        <v>10</v>
      </c>
      <c r="D7" s="10">
        <v>1900</v>
      </c>
      <c r="E7" s="15" t="s">
        <v>27</v>
      </c>
      <c r="F7" t="str">
        <f t="shared" si="1"/>
        <v>Whitin Budget</v>
      </c>
    </row>
    <row r="8" spans="1:6" ht="18" x14ac:dyDescent="0.35">
      <c r="A8" s="4">
        <v>44477</v>
      </c>
      <c r="B8" s="4" t="str">
        <f t="shared" si="0"/>
        <v>October</v>
      </c>
      <c r="C8" s="5" t="s">
        <v>7</v>
      </c>
      <c r="D8" s="9">
        <v>450</v>
      </c>
      <c r="E8" s="15" t="s">
        <v>26</v>
      </c>
      <c r="F8" t="str">
        <f t="shared" si="1"/>
        <v>Whitin Budget</v>
      </c>
    </row>
    <row r="9" spans="1:6" ht="18" x14ac:dyDescent="0.35">
      <c r="A9" s="6">
        <v>44484</v>
      </c>
      <c r="B9" s="4" t="str">
        <f t="shared" si="0"/>
        <v>October</v>
      </c>
      <c r="C9" s="7" t="s">
        <v>8</v>
      </c>
      <c r="D9" s="9">
        <v>620</v>
      </c>
      <c r="E9" s="15" t="s">
        <v>27</v>
      </c>
      <c r="F9" t="str">
        <f t="shared" si="1"/>
        <v>Whitin Budget</v>
      </c>
    </row>
    <row r="10" spans="1:6" ht="18" x14ac:dyDescent="0.35">
      <c r="A10" s="6">
        <v>44485</v>
      </c>
      <c r="B10" s="4" t="str">
        <f t="shared" si="0"/>
        <v>October</v>
      </c>
      <c r="C10" s="7" t="s">
        <v>11</v>
      </c>
      <c r="D10" s="9">
        <v>470</v>
      </c>
      <c r="E10" s="15" t="s">
        <v>26</v>
      </c>
      <c r="F10" t="str">
        <f t="shared" si="1"/>
        <v>Whitin Budget</v>
      </c>
    </row>
    <row r="11" spans="1:6" ht="18" x14ac:dyDescent="0.35">
      <c r="A11" s="6">
        <v>44487</v>
      </c>
      <c r="B11" s="4" t="str">
        <f t="shared" si="0"/>
        <v>October</v>
      </c>
      <c r="C11" s="7" t="s">
        <v>3</v>
      </c>
      <c r="D11" s="9">
        <v>970</v>
      </c>
      <c r="E11" s="15" t="s">
        <v>27</v>
      </c>
      <c r="F11" t="str">
        <f t="shared" si="1"/>
        <v>Whitin Budget</v>
      </c>
    </row>
    <row r="12" spans="1:6" ht="18" x14ac:dyDescent="0.35">
      <c r="A12" s="6">
        <v>44487</v>
      </c>
      <c r="B12" s="4" t="str">
        <f t="shared" si="0"/>
        <v>October</v>
      </c>
      <c r="C12" s="5" t="s">
        <v>2</v>
      </c>
      <c r="D12" s="10">
        <v>1075</v>
      </c>
      <c r="E12" s="15" t="s">
        <v>26</v>
      </c>
      <c r="F12" t="str">
        <f t="shared" si="1"/>
        <v>Whitin Budget</v>
      </c>
    </row>
    <row r="13" spans="1:6" ht="18" x14ac:dyDescent="0.35">
      <c r="A13" s="6">
        <v>44488</v>
      </c>
      <c r="B13" s="4" t="str">
        <f t="shared" si="0"/>
        <v>October</v>
      </c>
      <c r="C13" s="7" t="s">
        <v>7</v>
      </c>
      <c r="D13" s="9">
        <v>489</v>
      </c>
      <c r="E13" s="15" t="s">
        <v>27</v>
      </c>
      <c r="F13" t="str">
        <f t="shared" si="1"/>
        <v>Whitin Budget</v>
      </c>
    </row>
    <row r="14" spans="1:6" ht="18" x14ac:dyDescent="0.35">
      <c r="A14" s="6">
        <v>44491</v>
      </c>
      <c r="B14" s="4" t="str">
        <f t="shared" si="0"/>
        <v>October</v>
      </c>
      <c r="C14" s="7" t="s">
        <v>4</v>
      </c>
      <c r="D14" s="10">
        <v>1574.1</v>
      </c>
      <c r="E14" s="15" t="s">
        <v>26</v>
      </c>
      <c r="F14" t="str">
        <f t="shared" si="1"/>
        <v>Whitin Budget</v>
      </c>
    </row>
    <row r="15" spans="1:6" ht="18" x14ac:dyDescent="0.35">
      <c r="A15" s="6">
        <v>44491</v>
      </c>
      <c r="B15" s="4" t="str">
        <f t="shared" si="0"/>
        <v>October</v>
      </c>
      <c r="C15" s="7" t="s">
        <v>6</v>
      </c>
      <c r="D15" s="9">
        <v>550</v>
      </c>
      <c r="E15" s="15" t="s">
        <v>27</v>
      </c>
      <c r="F15" t="str">
        <f t="shared" si="1"/>
        <v>Whitin Budget</v>
      </c>
    </row>
    <row r="16" spans="1:6" ht="18" x14ac:dyDescent="0.35">
      <c r="A16" s="6">
        <v>44494</v>
      </c>
      <c r="B16" s="4" t="str">
        <f t="shared" si="0"/>
        <v>October</v>
      </c>
      <c r="C16" s="7" t="s">
        <v>9</v>
      </c>
      <c r="D16" s="9">
        <v>423</v>
      </c>
      <c r="E16" s="15" t="s">
        <v>27</v>
      </c>
      <c r="F16" t="str">
        <f t="shared" si="1"/>
        <v>Whitin Budget</v>
      </c>
    </row>
    <row r="17" spans="1:6" ht="18" x14ac:dyDescent="0.35">
      <c r="A17" s="6">
        <v>44496</v>
      </c>
      <c r="B17" s="4" t="str">
        <f t="shared" si="0"/>
        <v>October</v>
      </c>
      <c r="C17" s="7" t="s">
        <v>9</v>
      </c>
      <c r="D17" s="9">
        <v>358.22</v>
      </c>
      <c r="E17" s="15" t="s">
        <v>27</v>
      </c>
      <c r="F17" t="str">
        <f t="shared" si="1"/>
        <v>Whitin Budget</v>
      </c>
    </row>
    <row r="18" spans="1:6" ht="18" x14ac:dyDescent="0.35">
      <c r="A18" s="6">
        <v>44496</v>
      </c>
      <c r="B18" s="4" t="str">
        <f t="shared" si="0"/>
        <v>October</v>
      </c>
      <c r="C18" s="7" t="s">
        <v>8</v>
      </c>
      <c r="D18" s="9">
        <v>520</v>
      </c>
      <c r="E18" s="15" t="s">
        <v>27</v>
      </c>
      <c r="F18" t="str">
        <f t="shared" si="1"/>
        <v>Whitin Budget</v>
      </c>
    </row>
    <row r="19" spans="1:6" ht="18" x14ac:dyDescent="0.35">
      <c r="A19" s="4">
        <v>44497</v>
      </c>
      <c r="B19" s="4" t="str">
        <f t="shared" si="0"/>
        <v>October</v>
      </c>
      <c r="C19" s="5" t="s">
        <v>5</v>
      </c>
      <c r="D19" s="9">
        <v>300</v>
      </c>
      <c r="E19" s="15" t="s">
        <v>27</v>
      </c>
      <c r="F19" t="str">
        <f t="shared" si="1"/>
        <v>Whitin Budget</v>
      </c>
    </row>
    <row r="20" spans="1:6" ht="18" x14ac:dyDescent="0.35">
      <c r="A20" s="4">
        <v>44498</v>
      </c>
      <c r="B20" s="4" t="str">
        <f t="shared" si="0"/>
        <v>October</v>
      </c>
      <c r="C20" s="5" t="s">
        <v>9</v>
      </c>
      <c r="D20" s="9">
        <v>407.05</v>
      </c>
      <c r="E20" s="15" t="s">
        <v>27</v>
      </c>
      <c r="F20" t="str">
        <f t="shared" si="1"/>
        <v>Whitin Budget</v>
      </c>
    </row>
    <row r="21" spans="1:6" ht="18" x14ac:dyDescent="0.35">
      <c r="A21" s="4">
        <v>44499</v>
      </c>
      <c r="B21" s="4" t="str">
        <f t="shared" si="0"/>
        <v>October</v>
      </c>
      <c r="C21" s="5" t="s">
        <v>4</v>
      </c>
      <c r="D21" s="9">
        <v>300</v>
      </c>
      <c r="E21" s="15" t="s">
        <v>26</v>
      </c>
      <c r="F21" t="str">
        <f t="shared" si="1"/>
        <v>Whitin Budget</v>
      </c>
    </row>
    <row r="22" spans="1:6" ht="18" x14ac:dyDescent="0.35">
      <c r="A22" s="6">
        <v>44501</v>
      </c>
      <c r="B22" s="4" t="str">
        <f t="shared" si="0"/>
        <v>November</v>
      </c>
      <c r="C22" s="7" t="s">
        <v>3</v>
      </c>
      <c r="D22" s="10">
        <v>2327</v>
      </c>
      <c r="E22" s="15" t="s">
        <v>27</v>
      </c>
      <c r="F22" t="str">
        <f t="shared" si="1"/>
        <v>Over Budget</v>
      </c>
    </row>
    <row r="23" spans="1:6" ht="18" x14ac:dyDescent="0.35">
      <c r="A23" s="6">
        <v>44502</v>
      </c>
      <c r="B23" s="4" t="str">
        <f t="shared" si="0"/>
        <v>November</v>
      </c>
      <c r="C23" s="7" t="s">
        <v>10</v>
      </c>
      <c r="D23" s="9">
        <v>1150</v>
      </c>
      <c r="E23" s="15" t="s">
        <v>27</v>
      </c>
      <c r="F23" t="str">
        <f t="shared" si="1"/>
        <v>Whitin Budget</v>
      </c>
    </row>
    <row r="24" spans="1:6" ht="18" x14ac:dyDescent="0.35">
      <c r="A24" s="6">
        <v>44504</v>
      </c>
      <c r="B24" s="4" t="str">
        <f t="shared" si="0"/>
        <v>November</v>
      </c>
      <c r="C24" s="7" t="s">
        <v>10</v>
      </c>
      <c r="D24" s="10">
        <v>1138</v>
      </c>
      <c r="E24" s="15" t="s">
        <v>27</v>
      </c>
      <c r="F24" t="str">
        <f t="shared" si="1"/>
        <v>Whitin Budget</v>
      </c>
    </row>
    <row r="25" spans="1:6" ht="18" x14ac:dyDescent="0.35">
      <c r="A25" s="4">
        <v>44505</v>
      </c>
      <c r="B25" s="4" t="str">
        <f t="shared" si="0"/>
        <v>November</v>
      </c>
      <c r="C25" s="5" t="s">
        <v>13</v>
      </c>
      <c r="D25" s="9">
        <v>500</v>
      </c>
      <c r="E25" s="15" t="s">
        <v>27</v>
      </c>
      <c r="F25" t="str">
        <f t="shared" si="1"/>
        <v>Whitin Budget</v>
      </c>
    </row>
    <row r="26" spans="1:6" ht="18" x14ac:dyDescent="0.35">
      <c r="A26" s="4">
        <v>44508</v>
      </c>
      <c r="B26" s="4" t="str">
        <f t="shared" si="0"/>
        <v>November</v>
      </c>
      <c r="C26" s="5" t="s">
        <v>6</v>
      </c>
      <c r="D26" s="9">
        <v>702</v>
      </c>
      <c r="E26" s="15" t="s">
        <v>27</v>
      </c>
      <c r="F26" t="str">
        <f t="shared" si="1"/>
        <v>Whitin Budget</v>
      </c>
    </row>
    <row r="27" spans="1:6" ht="18" x14ac:dyDescent="0.35">
      <c r="A27" s="6">
        <v>44509</v>
      </c>
      <c r="B27" s="4" t="str">
        <f t="shared" si="0"/>
        <v>November</v>
      </c>
      <c r="C27" s="7" t="s">
        <v>4</v>
      </c>
      <c r="D27" s="10">
        <v>1600</v>
      </c>
      <c r="E27" s="15" t="s">
        <v>26</v>
      </c>
      <c r="F27" t="str">
        <f t="shared" si="1"/>
        <v>Whitin Budget</v>
      </c>
    </row>
    <row r="28" spans="1:6" ht="18" x14ac:dyDescent="0.35">
      <c r="A28" s="6">
        <v>44512</v>
      </c>
      <c r="B28" s="4" t="str">
        <f t="shared" si="0"/>
        <v>November</v>
      </c>
      <c r="C28" s="7" t="s">
        <v>5</v>
      </c>
      <c r="D28" s="9">
        <v>600</v>
      </c>
      <c r="E28" s="15" t="s">
        <v>27</v>
      </c>
      <c r="F28" t="str">
        <f t="shared" si="1"/>
        <v>Whitin Budget</v>
      </c>
    </row>
    <row r="29" spans="1:6" ht="19.2" customHeight="1" x14ac:dyDescent="0.35">
      <c r="A29" s="4">
        <v>44515</v>
      </c>
      <c r="B29" s="4" t="str">
        <f t="shared" si="0"/>
        <v>November</v>
      </c>
      <c r="C29" s="5" t="s">
        <v>13</v>
      </c>
      <c r="D29" s="9">
        <v>900</v>
      </c>
      <c r="E29" s="15" t="s">
        <v>27</v>
      </c>
      <c r="F29" t="str">
        <f t="shared" si="1"/>
        <v>Whitin Budget</v>
      </c>
    </row>
    <row r="30" spans="1:6" ht="18" x14ac:dyDescent="0.35">
      <c r="A30" s="6">
        <v>44515</v>
      </c>
      <c r="B30" s="4" t="str">
        <f t="shared" si="0"/>
        <v>November</v>
      </c>
      <c r="C30" s="5" t="s">
        <v>6</v>
      </c>
      <c r="D30" s="9">
        <v>150</v>
      </c>
      <c r="E30" s="15" t="s">
        <v>27</v>
      </c>
      <c r="F30" t="str">
        <f t="shared" si="1"/>
        <v>Whitin Budget</v>
      </c>
    </row>
    <row r="31" spans="1:6" ht="18" x14ac:dyDescent="0.35">
      <c r="A31" s="4">
        <v>44515</v>
      </c>
      <c r="B31" s="4" t="str">
        <f t="shared" si="0"/>
        <v>November</v>
      </c>
      <c r="C31" s="5" t="s">
        <v>2</v>
      </c>
      <c r="D31" s="9">
        <v>2100</v>
      </c>
      <c r="E31" s="15" t="s">
        <v>26</v>
      </c>
      <c r="F31" t="str">
        <f t="shared" si="1"/>
        <v>Over Budget</v>
      </c>
    </row>
    <row r="32" spans="1:6" ht="18" x14ac:dyDescent="0.35">
      <c r="A32" s="4">
        <v>44517</v>
      </c>
      <c r="B32" s="4" t="str">
        <f t="shared" si="0"/>
        <v>November</v>
      </c>
      <c r="C32" s="5" t="s">
        <v>11</v>
      </c>
      <c r="D32" s="9">
        <v>470.63</v>
      </c>
      <c r="E32" s="15" t="s">
        <v>26</v>
      </c>
      <c r="F32" t="str">
        <f t="shared" si="1"/>
        <v>Whitin Budget</v>
      </c>
    </row>
    <row r="33" spans="1:6" ht="18" x14ac:dyDescent="0.35">
      <c r="A33" s="4">
        <v>44517</v>
      </c>
      <c r="B33" s="4" t="str">
        <f t="shared" si="0"/>
        <v>November</v>
      </c>
      <c r="C33" s="5" t="s">
        <v>9</v>
      </c>
      <c r="D33" s="9">
        <v>322.64</v>
      </c>
      <c r="E33" s="15" t="s">
        <v>27</v>
      </c>
      <c r="F33" t="str">
        <f t="shared" si="1"/>
        <v>Whitin Budget</v>
      </c>
    </row>
    <row r="34" spans="1:6" ht="18" x14ac:dyDescent="0.35">
      <c r="A34" s="4">
        <v>44518</v>
      </c>
      <c r="B34" s="4" t="str">
        <f t="shared" si="0"/>
        <v>November</v>
      </c>
      <c r="C34" s="7" t="s">
        <v>8</v>
      </c>
      <c r="D34" s="9">
        <v>428</v>
      </c>
      <c r="E34" s="15" t="s">
        <v>27</v>
      </c>
      <c r="F34" t="str">
        <f t="shared" si="1"/>
        <v>Whitin Budget</v>
      </c>
    </row>
    <row r="35" spans="1:6" ht="18" x14ac:dyDescent="0.35">
      <c r="A35" s="4">
        <v>44519</v>
      </c>
      <c r="B35" s="4" t="str">
        <f t="shared" si="0"/>
        <v>November</v>
      </c>
      <c r="C35" s="5" t="s">
        <v>5</v>
      </c>
      <c r="D35" s="9">
        <v>447</v>
      </c>
      <c r="E35" s="15" t="s">
        <v>26</v>
      </c>
      <c r="F35" t="str">
        <f t="shared" si="1"/>
        <v>Whitin Budget</v>
      </c>
    </row>
    <row r="36" spans="1:6" ht="18" x14ac:dyDescent="0.35">
      <c r="A36" s="4">
        <v>44522</v>
      </c>
      <c r="B36" s="4" t="str">
        <f t="shared" si="0"/>
        <v>November</v>
      </c>
      <c r="C36" s="5" t="s">
        <v>4</v>
      </c>
      <c r="D36" s="10">
        <v>1720</v>
      </c>
      <c r="E36" s="15" t="s">
        <v>26</v>
      </c>
      <c r="F36" t="str">
        <f t="shared" si="1"/>
        <v>Whitin Budget</v>
      </c>
    </row>
    <row r="37" spans="1:6" ht="18" x14ac:dyDescent="0.35">
      <c r="A37" s="6">
        <v>44524</v>
      </c>
      <c r="B37" s="4" t="str">
        <f t="shared" si="0"/>
        <v>November</v>
      </c>
      <c r="C37" s="7" t="s">
        <v>6</v>
      </c>
      <c r="D37" s="9">
        <v>540</v>
      </c>
      <c r="E37" s="15" t="s">
        <v>27</v>
      </c>
      <c r="F37" t="str">
        <f t="shared" si="1"/>
        <v>Whitin Budget</v>
      </c>
    </row>
    <row r="38" spans="1:6" ht="18" x14ac:dyDescent="0.35">
      <c r="A38" s="4">
        <v>44525</v>
      </c>
      <c r="B38" s="4" t="str">
        <f t="shared" si="0"/>
        <v>November</v>
      </c>
      <c r="C38" s="5" t="s">
        <v>7</v>
      </c>
      <c r="D38" s="9">
        <v>314</v>
      </c>
      <c r="E38" s="15" t="s">
        <v>27</v>
      </c>
      <c r="F38" t="str">
        <f t="shared" si="1"/>
        <v>Whitin Budget</v>
      </c>
    </row>
    <row r="39" spans="1:6" ht="18" customHeight="1" x14ac:dyDescent="0.35">
      <c r="A39" s="4">
        <v>44526</v>
      </c>
      <c r="B39" s="4" t="str">
        <f t="shared" si="0"/>
        <v>November</v>
      </c>
      <c r="C39" s="5" t="s">
        <v>8</v>
      </c>
      <c r="D39" s="9">
        <v>518</v>
      </c>
      <c r="E39" s="15" t="s">
        <v>26</v>
      </c>
      <c r="F39" t="str">
        <f t="shared" si="1"/>
        <v>Whitin Budget</v>
      </c>
    </row>
    <row r="40" spans="1:6" ht="15.6" customHeight="1" x14ac:dyDescent="0.35">
      <c r="A40" s="4">
        <v>44526</v>
      </c>
      <c r="B40" s="4" t="str">
        <f t="shared" si="0"/>
        <v>November</v>
      </c>
      <c r="C40" s="7" t="s">
        <v>3</v>
      </c>
      <c r="D40" s="10">
        <v>2000</v>
      </c>
      <c r="E40" s="15" t="s">
        <v>27</v>
      </c>
      <c r="F40" t="str">
        <f t="shared" si="1"/>
        <v>Whitin Budget</v>
      </c>
    </row>
    <row r="41" spans="1:6" ht="18" x14ac:dyDescent="0.35">
      <c r="A41" s="6">
        <v>44529</v>
      </c>
      <c r="B41" s="4" t="str">
        <f t="shared" si="0"/>
        <v>November</v>
      </c>
      <c r="C41" s="7" t="s">
        <v>7</v>
      </c>
      <c r="D41" s="9">
        <v>337</v>
      </c>
      <c r="E41" s="15" t="s">
        <v>27</v>
      </c>
      <c r="F41" t="str">
        <f t="shared" si="1"/>
        <v>Whitin Budget</v>
      </c>
    </row>
    <row r="42" spans="1:6" ht="18" x14ac:dyDescent="0.35">
      <c r="A42" s="4">
        <v>44530</v>
      </c>
      <c r="B42" s="4" t="str">
        <f t="shared" si="0"/>
        <v>November</v>
      </c>
      <c r="C42" s="5" t="s">
        <v>8</v>
      </c>
      <c r="D42" s="9">
        <v>500</v>
      </c>
      <c r="E42" s="15" t="s">
        <v>27</v>
      </c>
      <c r="F42" t="str">
        <f t="shared" si="1"/>
        <v>Whitin Budget</v>
      </c>
    </row>
    <row r="43" spans="1:6" ht="18" x14ac:dyDescent="0.35">
      <c r="A43" s="4">
        <v>44531</v>
      </c>
      <c r="B43" s="4" t="str">
        <f t="shared" si="0"/>
        <v>December</v>
      </c>
      <c r="C43" s="5" t="s">
        <v>4</v>
      </c>
      <c r="D43" s="10">
        <v>2500</v>
      </c>
      <c r="E43" s="15" t="s">
        <v>26</v>
      </c>
      <c r="F43" t="str">
        <f t="shared" si="1"/>
        <v>Over Budget</v>
      </c>
    </row>
    <row r="44" spans="1:6" ht="18" x14ac:dyDescent="0.35">
      <c r="A44" s="6">
        <v>44534</v>
      </c>
      <c r="B44" s="4" t="str">
        <f t="shared" si="0"/>
        <v>December</v>
      </c>
      <c r="C44" s="7" t="s">
        <v>5</v>
      </c>
      <c r="D44" s="9">
        <v>710</v>
      </c>
      <c r="E44" s="15" t="s">
        <v>27</v>
      </c>
      <c r="F44" t="str">
        <f t="shared" si="1"/>
        <v>Whitin Budget</v>
      </c>
    </row>
    <row r="45" spans="1:6" ht="18" x14ac:dyDescent="0.35">
      <c r="A45" s="4">
        <v>44537</v>
      </c>
      <c r="B45" s="4" t="str">
        <f t="shared" si="0"/>
        <v>December</v>
      </c>
      <c r="C45" s="5" t="s">
        <v>2</v>
      </c>
      <c r="D45" s="9">
        <v>2300</v>
      </c>
      <c r="E45" s="15" t="s">
        <v>26</v>
      </c>
      <c r="F45" t="str">
        <f t="shared" si="1"/>
        <v>Over Budget</v>
      </c>
    </row>
    <row r="46" spans="1:6" ht="18" x14ac:dyDescent="0.35">
      <c r="A46" s="4">
        <v>44539</v>
      </c>
      <c r="B46" s="4" t="str">
        <f t="shared" si="0"/>
        <v>December</v>
      </c>
      <c r="C46" s="5" t="s">
        <v>12</v>
      </c>
      <c r="D46" s="9">
        <v>12000</v>
      </c>
      <c r="E46" s="15" t="s">
        <v>26</v>
      </c>
      <c r="F46" t="str">
        <f t="shared" si="1"/>
        <v>Over Budget</v>
      </c>
    </row>
    <row r="47" spans="1:6" ht="18" x14ac:dyDescent="0.35">
      <c r="A47" s="4">
        <v>44545</v>
      </c>
      <c r="B47" s="4" t="str">
        <f t="shared" si="0"/>
        <v>December</v>
      </c>
      <c r="C47" s="7" t="s">
        <v>10</v>
      </c>
      <c r="D47" s="9">
        <v>1500</v>
      </c>
      <c r="E47" s="15" t="s">
        <v>26</v>
      </c>
      <c r="F47" t="str">
        <f t="shared" si="1"/>
        <v>Whitin Budget</v>
      </c>
    </row>
    <row r="48" spans="1:6" ht="18" x14ac:dyDescent="0.35">
      <c r="A48" s="4">
        <v>44547</v>
      </c>
      <c r="B48" s="4" t="str">
        <f t="shared" si="0"/>
        <v>December</v>
      </c>
      <c r="C48" s="5" t="s">
        <v>11</v>
      </c>
      <c r="D48" s="9">
        <v>470.63</v>
      </c>
      <c r="E48" s="15" t="s">
        <v>26</v>
      </c>
      <c r="F48" t="str">
        <f t="shared" si="1"/>
        <v>Whitin Budget</v>
      </c>
    </row>
    <row r="49" spans="1:6" ht="18" x14ac:dyDescent="0.35">
      <c r="A49" s="4">
        <v>44550</v>
      </c>
      <c r="B49" s="4" t="str">
        <f t="shared" si="0"/>
        <v>December</v>
      </c>
      <c r="C49" s="5" t="s">
        <v>7</v>
      </c>
      <c r="D49" s="9">
        <v>267</v>
      </c>
      <c r="E49" s="15" t="s">
        <v>27</v>
      </c>
      <c r="F49" t="str">
        <f t="shared" si="1"/>
        <v>Whitin Budget</v>
      </c>
    </row>
    <row r="50" spans="1:6" ht="18" x14ac:dyDescent="0.35">
      <c r="A50" s="4">
        <v>44553</v>
      </c>
      <c r="B50" s="4" t="str">
        <f t="shared" si="0"/>
        <v>December</v>
      </c>
      <c r="C50" s="5" t="s">
        <v>6</v>
      </c>
      <c r="D50" s="9">
        <v>640</v>
      </c>
      <c r="E50" s="15" t="s">
        <v>27</v>
      </c>
      <c r="F50" t="str">
        <f t="shared" si="1"/>
        <v>Whitin Budget</v>
      </c>
    </row>
    <row r="51" spans="1:6" ht="18" x14ac:dyDescent="0.35">
      <c r="A51" s="4">
        <v>44553</v>
      </c>
      <c r="B51" s="4" t="str">
        <f t="shared" si="0"/>
        <v>December</v>
      </c>
      <c r="C51" s="5" t="s">
        <v>5</v>
      </c>
      <c r="D51" s="9">
        <v>450</v>
      </c>
      <c r="E51" s="15" t="s">
        <v>26</v>
      </c>
      <c r="F51" t="str">
        <f t="shared" si="1"/>
        <v>Whitin Budget</v>
      </c>
    </row>
    <row r="52" spans="1:6" ht="31.2" x14ac:dyDescent="0.3">
      <c r="A52" s="2"/>
      <c r="B52" s="2"/>
      <c r="D52" s="11">
        <f>SUM(D2:D51)</f>
        <v>57045.27</v>
      </c>
    </row>
    <row r="53" spans="1:6" ht="15.6" x14ac:dyDescent="0.3">
      <c r="A53" s="1"/>
      <c r="B53" s="1"/>
    </row>
  </sheetData>
  <dataValidations xWindow="578" yWindow="595" count="3">
    <dataValidation type="list" allowBlank="1" showInputMessage="1" showErrorMessage="1" errorTitle="Error" error="It is mendatory to select from the given options only" promptTitle="Information" prompt="Please Select from given options only." sqref="E2 E4:E51" xr:uid="{D13B95B9-EF8D-42B4-B155-F58EF78773B8}">
      <formula1>"Essential, Non-Essential"</formula1>
    </dataValidation>
    <dataValidation type="list" allowBlank="1" showInputMessage="1" showErrorMessage="1" sqref="E1" xr:uid="{B47CE21E-6586-4255-85BA-4B1DF44BC3B9}">
      <formula1>"Essential or non Essential"</formula1>
    </dataValidation>
    <dataValidation type="list" allowBlank="1" showInputMessage="1" showErrorMessage="1" errorTitle="Error" error="It is mendatory to select from the given options only" promptTitle="Information" prompt="Please Select from given options only." sqref="E3" xr:uid="{221A4F9D-2D32-4B14-8189-BE1169920234}">
      <formula1>"Non Essential"</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78ED-C982-4EE1-A532-7979B17BFC17}">
  <dimension ref="B1:C9"/>
  <sheetViews>
    <sheetView topLeftCell="A3" zoomScale="135" workbookViewId="0">
      <selection activeCell="B7" sqref="B7"/>
    </sheetView>
  </sheetViews>
  <sheetFormatPr defaultRowHeight="14.4" x14ac:dyDescent="0.3"/>
  <cols>
    <col min="2" max="2" width="61.44140625" customWidth="1"/>
  </cols>
  <sheetData>
    <row r="1" spans="2:3" x14ac:dyDescent="0.3">
      <c r="B1" s="12" t="s">
        <v>23</v>
      </c>
    </row>
    <row r="2" spans="2:3" ht="39" customHeight="1" x14ac:dyDescent="0.3">
      <c r="B2" s="13" t="s">
        <v>15</v>
      </c>
    </row>
    <row r="3" spans="2:3" ht="25.2" customHeight="1" x14ac:dyDescent="0.3">
      <c r="B3" s="13" t="s">
        <v>16</v>
      </c>
    </row>
    <row r="4" spans="2:3" ht="37.200000000000003" customHeight="1" x14ac:dyDescent="0.3">
      <c r="B4" s="13" t="s">
        <v>17</v>
      </c>
    </row>
    <row r="5" spans="2:3" ht="41.4" customHeight="1" x14ac:dyDescent="0.3">
      <c r="B5" s="13" t="s">
        <v>18</v>
      </c>
      <c r="C5" t="s">
        <v>29</v>
      </c>
    </row>
    <row r="6" spans="2:3" ht="32.4" customHeight="1" x14ac:dyDescent="0.3">
      <c r="B6" s="13" t="s">
        <v>19</v>
      </c>
    </row>
    <row r="7" spans="2:3" ht="51" customHeight="1" x14ac:dyDescent="0.3">
      <c r="B7" s="13" t="s">
        <v>20</v>
      </c>
    </row>
    <row r="8" spans="2:3" ht="42" customHeight="1" x14ac:dyDescent="0.3">
      <c r="B8" s="13" t="s">
        <v>21</v>
      </c>
    </row>
    <row r="9" spans="2:3" ht="31.2" customHeight="1" x14ac:dyDescent="0.3">
      <c r="B9" s="13"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A2D2A-ABF4-42F8-8CAE-BBE84803ACF8}">
  <dimension ref="A1:Y130"/>
  <sheetViews>
    <sheetView tabSelected="1" topLeftCell="A11" zoomScale="97" zoomScaleNormal="95" workbookViewId="0">
      <selection activeCell="L112" sqref="L112"/>
    </sheetView>
  </sheetViews>
  <sheetFormatPr defaultRowHeight="14.4" x14ac:dyDescent="0.3"/>
  <cols>
    <col min="5" max="5" width="29.44140625" customWidth="1"/>
    <col min="10" max="10" width="14.44140625" customWidth="1"/>
  </cols>
  <sheetData>
    <row r="1" spans="1:25" ht="30" customHeight="1" x14ac:dyDescent="0.3">
      <c r="A1" s="53" t="s">
        <v>30</v>
      </c>
      <c r="B1" s="54"/>
      <c r="C1" s="54"/>
      <c r="D1" s="54"/>
      <c r="E1" s="54"/>
      <c r="F1" s="54"/>
      <c r="G1" s="54"/>
      <c r="H1" s="54"/>
      <c r="I1" s="54"/>
      <c r="J1" s="54"/>
      <c r="K1" s="54"/>
      <c r="L1" s="54"/>
      <c r="M1" s="54"/>
      <c r="N1" s="54"/>
      <c r="O1" s="54"/>
      <c r="P1" s="54"/>
      <c r="Q1" s="54"/>
      <c r="R1" s="54"/>
      <c r="S1" s="54"/>
      <c r="T1" s="54"/>
      <c r="U1" s="54"/>
    </row>
    <row r="2" spans="1:25" ht="23.4" x14ac:dyDescent="0.45">
      <c r="H2" s="17"/>
      <c r="I2" s="17"/>
    </row>
    <row r="3" spans="1:25" ht="23.4" x14ac:dyDescent="0.45">
      <c r="E3" s="16" t="s">
        <v>33</v>
      </c>
      <c r="F3" s="16">
        <f>COUNTIF(Expense!C:C,"Online Shopping")</f>
        <v>6</v>
      </c>
      <c r="H3" s="17"/>
      <c r="I3" s="17"/>
    </row>
    <row r="4" spans="1:25" ht="21.6" customHeight="1" x14ac:dyDescent="0.45">
      <c r="E4" s="16" t="s">
        <v>34</v>
      </c>
      <c r="F4" s="16">
        <f>COUNTIF(Expense!C:C,"Ordering food")</f>
        <v>5</v>
      </c>
      <c r="H4" s="17"/>
      <c r="I4" s="17"/>
    </row>
    <row r="5" spans="1:25" ht="23.4" x14ac:dyDescent="0.45">
      <c r="E5" s="16" t="s">
        <v>32</v>
      </c>
      <c r="F5" s="16">
        <f>COUNTIF(Expense!C:C,"Gifts")</f>
        <v>4</v>
      </c>
      <c r="H5" s="17"/>
      <c r="I5" s="17"/>
    </row>
    <row r="6" spans="1:25" ht="23.4" x14ac:dyDescent="0.45">
      <c r="E6" s="16" t="s">
        <v>35</v>
      </c>
      <c r="F6" s="16">
        <f>SUM(F3:F5)</f>
        <v>15</v>
      </c>
    </row>
    <row r="8" spans="1:25" ht="29.4" customHeight="1" x14ac:dyDescent="0.3">
      <c r="L8" s="14"/>
      <c r="M8" s="14"/>
      <c r="N8" s="14"/>
      <c r="O8" s="14"/>
      <c r="P8" s="14"/>
      <c r="Q8" s="14"/>
      <c r="R8" s="14"/>
      <c r="S8" s="14"/>
      <c r="T8" s="14"/>
      <c r="U8" s="14"/>
      <c r="V8" s="14"/>
      <c r="W8" s="14"/>
      <c r="X8" s="14"/>
      <c r="Y8" s="14"/>
    </row>
    <row r="9" spans="1:25" ht="23.4" x14ac:dyDescent="0.3">
      <c r="E9" s="55" t="s">
        <v>31</v>
      </c>
      <c r="F9" s="56"/>
      <c r="G9" s="56"/>
      <c r="H9" s="56"/>
      <c r="I9" s="56"/>
      <c r="J9" s="56"/>
      <c r="K9" s="56"/>
    </row>
    <row r="11" spans="1:25" ht="41.4" customHeight="1" x14ac:dyDescent="0.3">
      <c r="E11" s="18" t="s">
        <v>14</v>
      </c>
      <c r="F11" s="57" t="s">
        <v>24</v>
      </c>
      <c r="G11" s="58"/>
    </row>
    <row r="12" spans="1:25" ht="17.399999999999999" x14ac:dyDescent="0.3">
      <c r="E12" s="19" t="s">
        <v>2</v>
      </c>
      <c r="F12" s="59">
        <f>SUMIF(Expense!C:C,Sheet1!E12,Expense!D:D)</f>
        <v>7775</v>
      </c>
      <c r="G12" s="60"/>
    </row>
    <row r="13" spans="1:25" ht="17.399999999999999" x14ac:dyDescent="0.3">
      <c r="E13" s="19" t="s">
        <v>3</v>
      </c>
      <c r="F13" s="59">
        <f>SUMIF(Expense!C:C,Sheet1!E13,Expense!D:D)</f>
        <v>7464</v>
      </c>
      <c r="G13" s="60"/>
    </row>
    <row r="14" spans="1:25" ht="34.799999999999997" x14ac:dyDescent="0.3">
      <c r="E14" s="19" t="s">
        <v>4</v>
      </c>
      <c r="F14" s="59">
        <f>SUMIF(Expense!C:C,Sheet1!E14,Expense!D:D)</f>
        <v>10194.1</v>
      </c>
      <c r="G14" s="60"/>
    </row>
    <row r="15" spans="1:25" ht="17.399999999999999" x14ac:dyDescent="0.3">
      <c r="E15" s="19" t="s">
        <v>5</v>
      </c>
      <c r="F15" s="59">
        <f>SUMIF(Expense!C:C,Sheet1!E15,Expense!D:D)</f>
        <v>3217</v>
      </c>
      <c r="G15" s="60"/>
    </row>
    <row r="16" spans="1:25" ht="17.399999999999999" x14ac:dyDescent="0.3">
      <c r="E16" s="19" t="s">
        <v>6</v>
      </c>
      <c r="F16" s="59">
        <f>SUMIF(Expense!C:C,Sheet1!E16,Expense!D:D)</f>
        <v>3342</v>
      </c>
      <c r="G16" s="60"/>
    </row>
    <row r="17" spans="5:13" ht="17.399999999999999" x14ac:dyDescent="0.3">
      <c r="E17" s="19" t="s">
        <v>10</v>
      </c>
      <c r="F17" s="59">
        <f>SUMIF(Expense!C:C,Sheet1!E17,Expense!D:D)</f>
        <v>5688</v>
      </c>
      <c r="G17" s="60"/>
    </row>
    <row r="18" spans="5:13" ht="17.399999999999999" x14ac:dyDescent="0.3">
      <c r="E18" s="19" t="s">
        <v>7</v>
      </c>
      <c r="F18" s="59">
        <f>SUMIF(Expense!C:C,Sheet1!E18,Expense!D:D)</f>
        <v>1857</v>
      </c>
      <c r="G18" s="60"/>
    </row>
    <row r="19" spans="5:13" ht="17.399999999999999" x14ac:dyDescent="0.3">
      <c r="E19" s="19" t="s">
        <v>8</v>
      </c>
      <c r="F19" s="59">
        <f>SUMIF(Expense!C:C,Sheet1!E19,Expense!D:D)</f>
        <v>2586</v>
      </c>
      <c r="G19" s="60"/>
    </row>
    <row r="20" spans="5:13" ht="34.799999999999997" x14ac:dyDescent="0.3">
      <c r="E20" s="19" t="s">
        <v>11</v>
      </c>
      <c r="F20" s="59">
        <f>SUMIF(Expense!C:C,Sheet1!E20,Expense!D:D)</f>
        <v>1411.26</v>
      </c>
      <c r="G20" s="60"/>
    </row>
    <row r="21" spans="5:13" ht="17.399999999999999" x14ac:dyDescent="0.3">
      <c r="E21" s="19" t="s">
        <v>9</v>
      </c>
      <c r="F21" s="59">
        <f>SUMIF(Expense!C:C,Sheet1!E21,Expense!D:D)</f>
        <v>1510.9099999999999</v>
      </c>
      <c r="G21" s="60"/>
    </row>
    <row r="22" spans="5:13" ht="17.399999999999999" x14ac:dyDescent="0.3">
      <c r="E22" s="19" t="s">
        <v>12</v>
      </c>
      <c r="F22" s="59">
        <f>SUMIF(Expense!C:C,Sheet1!E22,Expense!D:D)</f>
        <v>12000</v>
      </c>
      <c r="G22" s="60"/>
    </row>
    <row r="25" spans="5:13" ht="25.8" x14ac:dyDescent="0.5">
      <c r="E25" s="61" t="s">
        <v>36</v>
      </c>
      <c r="F25" s="61"/>
      <c r="G25" s="61"/>
      <c r="H25" s="61"/>
      <c r="I25" s="61"/>
      <c r="J25" s="61"/>
      <c r="K25" s="61"/>
      <c r="L25" s="61"/>
      <c r="M25" s="61"/>
    </row>
    <row r="27" spans="5:13" ht="22.2" customHeight="1" x14ac:dyDescent="0.4">
      <c r="E27" s="22" t="s">
        <v>38</v>
      </c>
      <c r="F27" s="62" t="s">
        <v>24</v>
      </c>
      <c r="G27" s="63"/>
    </row>
    <row r="28" spans="5:13" ht="39.6" x14ac:dyDescent="0.4">
      <c r="E28" s="21" t="s">
        <v>5</v>
      </c>
      <c r="F28" s="47">
        <f>SUMIF(Expense!C:C,Sheet1!E31,Expense!D:D)</f>
        <v>1857</v>
      </c>
      <c r="G28" s="48"/>
    </row>
    <row r="29" spans="5:13" ht="21" x14ac:dyDescent="0.4">
      <c r="E29" s="21" t="s">
        <v>12</v>
      </c>
      <c r="F29" s="47">
        <f>SUMIF(Expense!C:C,Sheet1!E38,Expense!D:D)</f>
        <v>1510.9099999999999</v>
      </c>
      <c r="G29" s="48"/>
    </row>
    <row r="30" spans="5:13" ht="39.6" x14ac:dyDescent="0.4">
      <c r="E30" s="21" t="s">
        <v>4</v>
      </c>
      <c r="F30" s="47">
        <f>SUMIF(Expense!C:C,Sheet1!E30,Expense!D:D)</f>
        <v>10194.1</v>
      </c>
      <c r="G30" s="48"/>
    </row>
    <row r="31" spans="5:13" ht="21" x14ac:dyDescent="0.4">
      <c r="E31" s="21" t="s">
        <v>7</v>
      </c>
      <c r="F31" s="47">
        <f>SUMIF(Expense!C:C,Sheet1!E34,Expense!D:D)</f>
        <v>1411.26</v>
      </c>
      <c r="G31" s="48"/>
    </row>
    <row r="32" spans="5:13" ht="21" x14ac:dyDescent="0.4">
      <c r="E32" s="21" t="s">
        <v>3</v>
      </c>
      <c r="F32" s="47">
        <f>SUMIF(Expense!C:C,Sheet1!E29,Expense!D:D)</f>
        <v>12000</v>
      </c>
      <c r="G32" s="48"/>
    </row>
    <row r="33" spans="5:18" ht="21" x14ac:dyDescent="0.4">
      <c r="E33" s="21" t="s">
        <v>8</v>
      </c>
      <c r="F33" s="47">
        <f>SUMIF(Expense!C:C,Sheet1!E35,Expense!D:D)</f>
        <v>7775</v>
      </c>
      <c r="G33" s="48"/>
    </row>
    <row r="34" spans="5:18" ht="39.6" x14ac:dyDescent="0.4">
      <c r="E34" s="21" t="s">
        <v>11</v>
      </c>
      <c r="F34" s="47">
        <v>5688</v>
      </c>
      <c r="G34" s="48"/>
    </row>
    <row r="35" spans="5:18" ht="21" x14ac:dyDescent="0.4">
      <c r="E35" s="21" t="s">
        <v>2</v>
      </c>
      <c r="F35" s="47">
        <f>SUMIF(Expense!C:C,Sheet1!E28,Expense!D:D)</f>
        <v>3217</v>
      </c>
      <c r="G35" s="48"/>
    </row>
    <row r="36" spans="5:18" ht="21" x14ac:dyDescent="0.4">
      <c r="E36" s="21" t="s">
        <v>10</v>
      </c>
      <c r="F36" s="47">
        <f>SUMIF(Expense!C:C,Sheet1!E33,Expense!D:D)</f>
        <v>2586</v>
      </c>
      <c r="G36" s="48"/>
    </row>
    <row r="37" spans="5:18" ht="21" x14ac:dyDescent="0.4">
      <c r="E37" s="21" t="s">
        <v>6</v>
      </c>
      <c r="F37" s="47">
        <f>SUMIF(Expense!C:C,Sheet1!E32,Expense!D:D)</f>
        <v>7464</v>
      </c>
      <c r="G37" s="48"/>
    </row>
    <row r="38" spans="5:18" ht="21" x14ac:dyDescent="0.4">
      <c r="E38" s="21" t="s">
        <v>9</v>
      </c>
      <c r="F38" s="47">
        <f>SUMIF(Expense!C:C,Sheet1!E37,Expense!D:D)</f>
        <v>3342</v>
      </c>
      <c r="G38" s="48"/>
    </row>
    <row r="39" spans="5:18" ht="21" x14ac:dyDescent="0.4">
      <c r="E39" s="21" t="s">
        <v>24</v>
      </c>
      <c r="F39" s="47">
        <f>SUM(F28:F38)</f>
        <v>57045.270000000004</v>
      </c>
      <c r="G39" s="48"/>
    </row>
    <row r="41" spans="5:18" ht="55.2" customHeight="1" x14ac:dyDescent="0.5">
      <c r="E41" s="64" t="s">
        <v>37</v>
      </c>
      <c r="F41" s="65"/>
      <c r="G41" s="65"/>
      <c r="H41" s="65"/>
      <c r="I41" s="65"/>
      <c r="J41" s="65"/>
      <c r="K41" s="65"/>
      <c r="L41" s="65"/>
      <c r="M41" s="65"/>
      <c r="N41" s="65"/>
      <c r="O41" s="65"/>
      <c r="P41" s="65"/>
      <c r="Q41" s="65"/>
      <c r="R41" s="65"/>
    </row>
    <row r="42" spans="5:18" ht="25.8" x14ac:dyDescent="0.5">
      <c r="E42" s="20"/>
      <c r="F42" s="20"/>
      <c r="G42" s="20"/>
      <c r="H42" s="20"/>
      <c r="I42" s="20"/>
      <c r="J42" s="20"/>
      <c r="K42" s="20"/>
      <c r="L42" s="20"/>
      <c r="M42" s="20"/>
      <c r="N42" s="20"/>
      <c r="O42" s="20"/>
      <c r="P42" s="20"/>
      <c r="Q42" s="20"/>
      <c r="R42" s="20"/>
    </row>
    <row r="43" spans="5:18" ht="25.8" x14ac:dyDescent="0.5">
      <c r="E43" s="22" t="s">
        <v>38</v>
      </c>
      <c r="F43" s="62" t="s">
        <v>24</v>
      </c>
      <c r="G43" s="63"/>
      <c r="H43" s="62" t="s">
        <v>39</v>
      </c>
      <c r="I43" s="63"/>
      <c r="J43" s="20"/>
      <c r="K43" s="20"/>
      <c r="L43" s="20"/>
      <c r="M43" s="20"/>
      <c r="N43" s="20"/>
      <c r="O43" s="20"/>
      <c r="P43" s="20"/>
      <c r="Q43" s="20"/>
      <c r="R43" s="20"/>
    </row>
    <row r="44" spans="5:18" ht="39.6" x14ac:dyDescent="0.4">
      <c r="E44" s="21" t="s">
        <v>5</v>
      </c>
      <c r="F44" s="47">
        <f>SUMIF(Expense!C:C,Sheet1!E47,Expense!D:D)</f>
        <v>1857</v>
      </c>
      <c r="G44" s="48"/>
      <c r="H44" s="50">
        <f>F44/F55</f>
        <v>3.255309335901118E-2</v>
      </c>
      <c r="I44" s="51"/>
    </row>
    <row r="45" spans="5:18" ht="21" x14ac:dyDescent="0.4">
      <c r="E45" s="21" t="s">
        <v>12</v>
      </c>
      <c r="F45" s="47">
        <f>SUMIF(Expense!C:C,Sheet1!E54,Expense!D:D)</f>
        <v>1510.9099999999999</v>
      </c>
      <c r="G45" s="48"/>
      <c r="H45" s="50">
        <f>F45/F55</f>
        <v>2.6486157397449424E-2</v>
      </c>
      <c r="I45" s="51"/>
    </row>
    <row r="46" spans="5:18" ht="39.6" x14ac:dyDescent="0.4">
      <c r="E46" s="21" t="s">
        <v>4</v>
      </c>
      <c r="F46" s="47">
        <f>SUMIF(Expense!C:C,Sheet1!E46,Expense!D:D)</f>
        <v>10194.1</v>
      </c>
      <c r="G46" s="48"/>
      <c r="H46" s="50">
        <f>F46/F55</f>
        <v>0.17870193269310497</v>
      </c>
      <c r="I46" s="51"/>
    </row>
    <row r="47" spans="5:18" ht="21" x14ac:dyDescent="0.4">
      <c r="E47" s="21" t="s">
        <v>7</v>
      </c>
      <c r="F47" s="47">
        <f>SUMIF(Expense!C:C,Sheet1!E50,Expense!D:D)</f>
        <v>1411.26</v>
      </c>
      <c r="G47" s="48"/>
      <c r="H47" s="50">
        <f>F47/F55</f>
        <v>2.4739299156617191E-2</v>
      </c>
      <c r="I47" s="51"/>
    </row>
    <row r="48" spans="5:18" ht="21" x14ac:dyDescent="0.4">
      <c r="E48" s="21" t="s">
        <v>3</v>
      </c>
      <c r="F48" s="47">
        <f>SUMIF(Expense!C:C,Sheet1!E45,Expense!D:D)</f>
        <v>12000</v>
      </c>
      <c r="G48" s="48"/>
      <c r="H48" s="50">
        <f>F48/F55</f>
        <v>0.2103592462617847</v>
      </c>
      <c r="I48" s="51"/>
    </row>
    <row r="49" spans="5:12" ht="21" x14ac:dyDescent="0.4">
      <c r="E49" s="21" t="s">
        <v>8</v>
      </c>
      <c r="F49" s="47">
        <f>SUMIF(Expense!C:C,Sheet1!E51,Expense!D:D)</f>
        <v>7775</v>
      </c>
      <c r="G49" s="48"/>
      <c r="H49" s="50">
        <f>F49/F55</f>
        <v>0.136295261640448</v>
      </c>
      <c r="I49" s="51"/>
    </row>
    <row r="50" spans="5:12" ht="39.6" x14ac:dyDescent="0.4">
      <c r="E50" s="21" t="s">
        <v>11</v>
      </c>
      <c r="F50" s="47">
        <v>5688</v>
      </c>
      <c r="G50" s="48"/>
      <c r="H50" s="50">
        <f>F50/F55</f>
        <v>9.971028272808595E-2</v>
      </c>
      <c r="I50" s="51"/>
    </row>
    <row r="51" spans="5:12" ht="21" x14ac:dyDescent="0.4">
      <c r="E51" s="21" t="s">
        <v>2</v>
      </c>
      <c r="F51" s="47">
        <f>SUMIF(Expense!C:C,Sheet1!E44,Expense!D:D)</f>
        <v>3217</v>
      </c>
      <c r="G51" s="48"/>
      <c r="H51" s="50">
        <f>F51/F55</f>
        <v>5.6393807935346783E-2</v>
      </c>
      <c r="I51" s="51"/>
    </row>
    <row r="52" spans="5:12" ht="21" x14ac:dyDescent="0.4">
      <c r="E52" s="21" t="s">
        <v>10</v>
      </c>
      <c r="F52" s="47">
        <f>SUMIF(Expense!C:C,Sheet1!E49,Expense!D:D)</f>
        <v>2586</v>
      </c>
      <c r="G52" s="48"/>
      <c r="H52" s="50">
        <f>F52/F55</f>
        <v>4.5332417569414606E-2</v>
      </c>
      <c r="I52" s="51"/>
    </row>
    <row r="53" spans="5:12" ht="21" x14ac:dyDescent="0.4">
      <c r="E53" s="21" t="s">
        <v>6</v>
      </c>
      <c r="F53" s="47">
        <f>SUMIF(Expense!C:C,Sheet1!E48,Expense!D:D)</f>
        <v>7464</v>
      </c>
      <c r="G53" s="48"/>
      <c r="H53" s="50">
        <f>F53/F55</f>
        <v>0.13084345117483009</v>
      </c>
      <c r="I53" s="51"/>
    </row>
    <row r="54" spans="5:12" ht="21" x14ac:dyDescent="0.4">
      <c r="E54" s="21" t="s">
        <v>9</v>
      </c>
      <c r="F54" s="47">
        <f>SUMIF(Expense!C:C,Sheet1!E53,Expense!D:D)</f>
        <v>3342</v>
      </c>
      <c r="G54" s="48"/>
      <c r="H54" s="50">
        <f>F54/F55</f>
        <v>5.8585050083907041E-2</v>
      </c>
      <c r="I54" s="51"/>
    </row>
    <row r="55" spans="5:12" ht="21" x14ac:dyDescent="0.4">
      <c r="E55" s="21" t="s">
        <v>24</v>
      </c>
      <c r="F55" s="47">
        <f>SUM(F44:F54)</f>
        <v>57045.270000000004</v>
      </c>
      <c r="G55" s="48"/>
      <c r="H55" s="50"/>
      <c r="I55" s="51"/>
    </row>
    <row r="58" spans="5:12" ht="28.8" x14ac:dyDescent="0.55000000000000004">
      <c r="E58" s="52" t="s">
        <v>40</v>
      </c>
      <c r="F58" s="52"/>
      <c r="G58" s="52"/>
      <c r="H58" s="52"/>
      <c r="I58" s="52"/>
      <c r="J58" s="52"/>
      <c r="K58" s="52"/>
      <c r="L58" s="52"/>
    </row>
    <row r="60" spans="5:12" ht="18" x14ac:dyDescent="0.35">
      <c r="E60" s="31" t="s">
        <v>41</v>
      </c>
      <c r="F60" s="32" t="s">
        <v>1</v>
      </c>
      <c r="G60" s="32"/>
    </row>
    <row r="61" spans="5:12" x14ac:dyDescent="0.3">
      <c r="E61" s="30" t="s">
        <v>42</v>
      </c>
      <c r="F61" s="33">
        <f>SUMIF(Expense!B2:B51,Sheet1!E61,Expense!D2:D51)</f>
        <v>17443.37</v>
      </c>
      <c r="G61" s="33"/>
    </row>
    <row r="62" spans="5:12" x14ac:dyDescent="0.3">
      <c r="E62" s="30" t="s">
        <v>43</v>
      </c>
      <c r="F62" s="33">
        <f>SUMIF(Expense!B3:B52,Sheet1!E62,Expense!D3:D52)</f>
        <v>18764.269999999997</v>
      </c>
      <c r="G62" s="33"/>
    </row>
    <row r="63" spans="5:12" x14ac:dyDescent="0.3">
      <c r="E63" s="30" t="s">
        <v>44</v>
      </c>
      <c r="F63" s="33">
        <f>SUMIF(Expense!B4:B53,Sheet1!E63,Expense!D4:D53)</f>
        <v>20837.63</v>
      </c>
      <c r="G63" s="33"/>
    </row>
    <row r="64" spans="5:12" x14ac:dyDescent="0.3">
      <c r="E64" s="29"/>
      <c r="F64" s="34"/>
      <c r="G64" s="34"/>
    </row>
    <row r="71" spans="2:19" ht="17.399999999999999" customHeight="1" x14ac:dyDescent="0.3"/>
    <row r="72" spans="2:19" ht="23.4" customHeight="1" x14ac:dyDescent="0.3"/>
    <row r="73" spans="2:19" ht="25.8" customHeight="1" x14ac:dyDescent="0.3"/>
    <row r="75" spans="2:19" ht="27.6" customHeight="1" x14ac:dyDescent="0.3"/>
    <row r="76" spans="2:19" ht="26.4" customHeight="1" x14ac:dyDescent="0.3"/>
    <row r="77" spans="2:19" ht="41.4" customHeight="1" x14ac:dyDescent="0.3">
      <c r="B77" s="49" t="s">
        <v>46</v>
      </c>
      <c r="C77" s="49"/>
      <c r="D77" s="49"/>
      <c r="E77" s="49"/>
      <c r="F77" s="49"/>
      <c r="G77" s="49"/>
      <c r="H77" s="49"/>
      <c r="I77" s="49"/>
      <c r="J77" s="49"/>
      <c r="K77" s="49"/>
      <c r="L77" s="49"/>
      <c r="M77" s="49"/>
      <c r="N77" s="49"/>
      <c r="O77" s="49"/>
      <c r="P77" s="49"/>
      <c r="Q77" s="49"/>
      <c r="R77" s="49"/>
      <c r="S77" s="49"/>
    </row>
    <row r="78" spans="2:19" ht="14.4" customHeight="1" x14ac:dyDescent="0.3">
      <c r="B78" s="49"/>
      <c r="C78" s="49"/>
      <c r="D78" s="49"/>
      <c r="E78" s="49"/>
      <c r="F78" s="49"/>
      <c r="G78" s="49"/>
      <c r="H78" s="49"/>
      <c r="I78" s="49"/>
      <c r="J78" s="49"/>
      <c r="K78" s="49"/>
      <c r="L78" s="49"/>
      <c r="M78" s="49"/>
      <c r="N78" s="49"/>
      <c r="O78" s="49"/>
      <c r="P78" s="49"/>
      <c r="Q78" s="49"/>
      <c r="R78" s="49"/>
      <c r="S78" s="49"/>
    </row>
    <row r="79" spans="2:19" ht="41.4" customHeight="1" x14ac:dyDescent="0.3">
      <c r="E79" s="23" t="s">
        <v>0</v>
      </c>
      <c r="F79" s="43" t="s">
        <v>38</v>
      </c>
      <c r="G79" s="43"/>
      <c r="H79" s="43"/>
      <c r="I79" s="43" t="s">
        <v>1</v>
      </c>
      <c r="J79" s="43"/>
      <c r="K79" s="43" t="s">
        <v>25</v>
      </c>
      <c r="L79" s="43"/>
    </row>
    <row r="80" spans="2:19" ht="27.6" customHeight="1" x14ac:dyDescent="0.35">
      <c r="E80" s="24">
        <v>44470</v>
      </c>
      <c r="F80" s="35" t="s">
        <v>2</v>
      </c>
      <c r="G80" s="36"/>
      <c r="H80" s="37"/>
      <c r="I80" s="41">
        <v>2300</v>
      </c>
      <c r="J80" s="42"/>
      <c r="K80" s="44" t="s">
        <v>26</v>
      </c>
      <c r="L80" s="44"/>
    </row>
    <row r="81" spans="5:12" ht="41.4" customHeight="1" x14ac:dyDescent="0.35">
      <c r="E81" s="24">
        <v>44470</v>
      </c>
      <c r="F81" s="35" t="s">
        <v>3</v>
      </c>
      <c r="G81" s="36"/>
      <c r="H81" s="37"/>
      <c r="I81" s="41">
        <v>767</v>
      </c>
      <c r="J81" s="42"/>
      <c r="K81" s="25" t="s">
        <v>45</v>
      </c>
      <c r="L81" s="25"/>
    </row>
    <row r="82" spans="5:12" ht="27.6" customHeight="1" x14ac:dyDescent="0.35">
      <c r="E82" s="24">
        <v>44470</v>
      </c>
      <c r="F82" s="35" t="s">
        <v>4</v>
      </c>
      <c r="G82" s="36"/>
      <c r="H82" s="37"/>
      <c r="I82" s="45">
        <v>2500</v>
      </c>
      <c r="J82" s="46"/>
      <c r="K82" s="25" t="s">
        <v>26</v>
      </c>
      <c r="L82" s="25"/>
    </row>
    <row r="83" spans="5:12" ht="41.4" customHeight="1" x14ac:dyDescent="0.35">
      <c r="E83" s="24">
        <v>44473</v>
      </c>
      <c r="F83" s="35" t="s">
        <v>5</v>
      </c>
      <c r="G83" s="36"/>
      <c r="H83" s="37"/>
      <c r="I83" s="41">
        <v>710</v>
      </c>
      <c r="J83" s="42"/>
      <c r="K83" s="25" t="s">
        <v>26</v>
      </c>
      <c r="L83" s="25"/>
    </row>
    <row r="84" spans="5:12" ht="55.2" customHeight="1" x14ac:dyDescent="0.35">
      <c r="E84" s="24">
        <v>44473</v>
      </c>
      <c r="F84" s="35" t="s">
        <v>6</v>
      </c>
      <c r="G84" s="36"/>
      <c r="H84" s="37"/>
      <c r="I84" s="41">
        <v>760</v>
      </c>
      <c r="J84" s="42"/>
      <c r="K84" s="25" t="s">
        <v>27</v>
      </c>
      <c r="L84" s="25"/>
    </row>
    <row r="85" spans="5:12" ht="41.4" customHeight="1" x14ac:dyDescent="0.35">
      <c r="E85" s="24">
        <v>44476</v>
      </c>
      <c r="F85" s="35" t="s">
        <v>10</v>
      </c>
      <c r="G85" s="36"/>
      <c r="H85" s="37"/>
      <c r="I85" s="45">
        <v>1900</v>
      </c>
      <c r="J85" s="46"/>
      <c r="K85" s="25" t="s">
        <v>27</v>
      </c>
      <c r="L85" s="25"/>
    </row>
    <row r="86" spans="5:12" ht="27.6" customHeight="1" x14ac:dyDescent="0.35">
      <c r="E86" s="24">
        <v>44477</v>
      </c>
      <c r="F86" s="35" t="s">
        <v>7</v>
      </c>
      <c r="G86" s="36"/>
      <c r="H86" s="37"/>
      <c r="I86" s="41">
        <v>450</v>
      </c>
      <c r="J86" s="42"/>
      <c r="K86" s="25" t="s">
        <v>26</v>
      </c>
      <c r="L86" s="25"/>
    </row>
    <row r="87" spans="5:12" ht="27.6" customHeight="1" x14ac:dyDescent="0.35">
      <c r="E87" s="24">
        <v>44484</v>
      </c>
      <c r="F87" s="35" t="s">
        <v>8</v>
      </c>
      <c r="G87" s="36"/>
      <c r="H87" s="37"/>
      <c r="I87" s="41">
        <v>620</v>
      </c>
      <c r="J87" s="42"/>
      <c r="K87" s="25" t="s">
        <v>27</v>
      </c>
      <c r="L87" s="25"/>
    </row>
    <row r="88" spans="5:12" ht="55.2" customHeight="1" x14ac:dyDescent="0.35">
      <c r="E88" s="24">
        <v>44485</v>
      </c>
      <c r="F88" s="35" t="s">
        <v>11</v>
      </c>
      <c r="G88" s="36"/>
      <c r="H88" s="37"/>
      <c r="I88" s="41">
        <v>470</v>
      </c>
      <c r="J88" s="42"/>
      <c r="K88" s="25" t="s">
        <v>26</v>
      </c>
      <c r="L88" s="25"/>
    </row>
    <row r="89" spans="5:12" ht="27.6" customHeight="1" x14ac:dyDescent="0.35">
      <c r="E89" s="24">
        <v>44487</v>
      </c>
      <c r="F89" s="35" t="s">
        <v>3</v>
      </c>
      <c r="G89" s="36"/>
      <c r="H89" s="37"/>
      <c r="I89" s="41">
        <v>970</v>
      </c>
      <c r="J89" s="42"/>
      <c r="K89" s="25" t="s">
        <v>27</v>
      </c>
      <c r="L89" s="25"/>
    </row>
    <row r="90" spans="5:12" ht="27.6" customHeight="1" x14ac:dyDescent="0.35">
      <c r="E90" s="24">
        <v>44487</v>
      </c>
      <c r="F90" s="35" t="s">
        <v>2</v>
      </c>
      <c r="G90" s="36"/>
      <c r="H90" s="37"/>
      <c r="I90" s="45">
        <v>1075</v>
      </c>
      <c r="J90" s="46"/>
      <c r="K90" s="25" t="s">
        <v>26</v>
      </c>
      <c r="L90" s="25"/>
    </row>
    <row r="91" spans="5:12" ht="27.6" customHeight="1" x14ac:dyDescent="0.35">
      <c r="E91" s="24">
        <v>44488</v>
      </c>
      <c r="F91" s="35" t="s">
        <v>7</v>
      </c>
      <c r="G91" s="36"/>
      <c r="H91" s="37"/>
      <c r="I91" s="41">
        <v>489</v>
      </c>
      <c r="J91" s="42"/>
      <c r="K91" s="25" t="s">
        <v>27</v>
      </c>
      <c r="L91" s="25"/>
    </row>
    <row r="92" spans="5:12" ht="41.4" customHeight="1" x14ac:dyDescent="0.35">
      <c r="E92" s="24">
        <v>44491</v>
      </c>
      <c r="F92" s="35" t="s">
        <v>4</v>
      </c>
      <c r="G92" s="36"/>
      <c r="H92" s="37"/>
      <c r="I92" s="45">
        <v>1574.1</v>
      </c>
      <c r="J92" s="46"/>
      <c r="K92" s="25" t="s">
        <v>26</v>
      </c>
      <c r="L92" s="25"/>
    </row>
    <row r="93" spans="5:12" ht="41.4" customHeight="1" x14ac:dyDescent="0.35">
      <c r="E93" s="24">
        <v>44491</v>
      </c>
      <c r="F93" s="35" t="s">
        <v>6</v>
      </c>
      <c r="G93" s="36"/>
      <c r="H93" s="37"/>
      <c r="I93" s="41">
        <v>550</v>
      </c>
      <c r="J93" s="42"/>
      <c r="K93" s="25" t="s">
        <v>27</v>
      </c>
      <c r="L93" s="25"/>
    </row>
    <row r="94" spans="5:12" ht="27.6" customHeight="1" x14ac:dyDescent="0.35">
      <c r="E94" s="24">
        <v>44494</v>
      </c>
      <c r="F94" s="35" t="s">
        <v>9</v>
      </c>
      <c r="G94" s="36"/>
      <c r="H94" s="37"/>
      <c r="I94" s="41">
        <v>423</v>
      </c>
      <c r="J94" s="42"/>
      <c r="K94" s="25" t="s">
        <v>27</v>
      </c>
      <c r="L94" s="25"/>
    </row>
    <row r="95" spans="5:12" ht="55.2" customHeight="1" x14ac:dyDescent="0.35">
      <c r="E95" s="24">
        <v>44496</v>
      </c>
      <c r="F95" s="35" t="s">
        <v>9</v>
      </c>
      <c r="G95" s="36"/>
      <c r="H95" s="37"/>
      <c r="I95" s="41">
        <v>358.22</v>
      </c>
      <c r="J95" s="42"/>
      <c r="K95" s="25" t="s">
        <v>27</v>
      </c>
      <c r="L95" s="25"/>
    </row>
    <row r="96" spans="5:12" ht="41.4" customHeight="1" x14ac:dyDescent="0.35">
      <c r="E96" s="24">
        <v>44496</v>
      </c>
      <c r="F96" s="35" t="s">
        <v>8</v>
      </c>
      <c r="G96" s="36"/>
      <c r="H96" s="37"/>
      <c r="I96" s="41">
        <v>520</v>
      </c>
      <c r="J96" s="42"/>
      <c r="K96" s="25" t="s">
        <v>27</v>
      </c>
      <c r="L96" s="25"/>
    </row>
    <row r="97" spans="5:12" ht="41.4" customHeight="1" x14ac:dyDescent="0.35">
      <c r="E97" s="24">
        <v>44497</v>
      </c>
      <c r="F97" s="35" t="s">
        <v>5</v>
      </c>
      <c r="G97" s="36"/>
      <c r="H97" s="37"/>
      <c r="I97" s="41">
        <v>300</v>
      </c>
      <c r="J97" s="42"/>
      <c r="K97" s="25" t="s">
        <v>27</v>
      </c>
      <c r="L97" s="25"/>
    </row>
    <row r="98" spans="5:12" ht="27.6" customHeight="1" x14ac:dyDescent="0.35">
      <c r="E98" s="24">
        <v>44498</v>
      </c>
      <c r="F98" s="35" t="s">
        <v>9</v>
      </c>
      <c r="G98" s="36"/>
      <c r="H98" s="37"/>
      <c r="I98" s="41">
        <v>407.05</v>
      </c>
      <c r="J98" s="42"/>
      <c r="K98" s="25" t="s">
        <v>27</v>
      </c>
      <c r="L98" s="25"/>
    </row>
    <row r="99" spans="5:12" ht="41.4" customHeight="1" x14ac:dyDescent="0.35">
      <c r="E99" s="24">
        <v>44499</v>
      </c>
      <c r="F99" s="35" t="s">
        <v>4</v>
      </c>
      <c r="G99" s="36"/>
      <c r="H99" s="37"/>
      <c r="I99" s="41">
        <v>300</v>
      </c>
      <c r="J99" s="42"/>
      <c r="K99" s="25" t="s">
        <v>26</v>
      </c>
      <c r="L99" s="25"/>
    </row>
    <row r="100" spans="5:12" ht="27.6" customHeight="1" x14ac:dyDescent="0.35">
      <c r="E100" s="24">
        <v>44501</v>
      </c>
      <c r="F100" s="35" t="s">
        <v>3</v>
      </c>
      <c r="G100" s="36"/>
      <c r="H100" s="37"/>
      <c r="I100" s="45">
        <v>2327</v>
      </c>
      <c r="J100" s="46"/>
      <c r="K100" s="25" t="s">
        <v>27</v>
      </c>
      <c r="L100" s="25"/>
    </row>
    <row r="101" spans="5:12" ht="55.2" customHeight="1" x14ac:dyDescent="0.35">
      <c r="E101" s="24">
        <v>44502</v>
      </c>
      <c r="F101" s="35" t="s">
        <v>10</v>
      </c>
      <c r="G101" s="36"/>
      <c r="H101" s="37"/>
      <c r="I101" s="41">
        <v>1150</v>
      </c>
      <c r="J101" s="42"/>
      <c r="K101" s="25" t="s">
        <v>27</v>
      </c>
      <c r="L101" s="25"/>
    </row>
    <row r="102" spans="5:12" ht="41.4" customHeight="1" x14ac:dyDescent="0.35">
      <c r="E102" s="24">
        <v>44504</v>
      </c>
      <c r="F102" s="35" t="s">
        <v>10</v>
      </c>
      <c r="G102" s="36"/>
      <c r="H102" s="37"/>
      <c r="I102" s="45">
        <v>1138</v>
      </c>
      <c r="J102" s="46"/>
      <c r="K102" s="25" t="s">
        <v>27</v>
      </c>
      <c r="L102" s="25"/>
    </row>
    <row r="103" spans="5:12" ht="41.4" customHeight="1" x14ac:dyDescent="0.35">
      <c r="E103" s="24">
        <v>44505</v>
      </c>
      <c r="F103" s="35" t="s">
        <v>13</v>
      </c>
      <c r="G103" s="36"/>
      <c r="H103" s="37"/>
      <c r="I103" s="41">
        <v>500</v>
      </c>
      <c r="J103" s="42"/>
      <c r="K103" s="25" t="s">
        <v>27</v>
      </c>
      <c r="L103" s="25"/>
    </row>
    <row r="104" spans="5:12" ht="27.6" customHeight="1" x14ac:dyDescent="0.35">
      <c r="E104" s="24">
        <v>44508</v>
      </c>
      <c r="F104" s="35" t="s">
        <v>6</v>
      </c>
      <c r="G104" s="36"/>
      <c r="H104" s="37"/>
      <c r="I104" s="41">
        <v>702</v>
      </c>
      <c r="J104" s="42"/>
      <c r="K104" s="25" t="s">
        <v>27</v>
      </c>
      <c r="L104" s="25"/>
    </row>
    <row r="105" spans="5:12" ht="27.6" customHeight="1" x14ac:dyDescent="0.35">
      <c r="E105" s="24">
        <v>44509</v>
      </c>
      <c r="F105" s="35" t="s">
        <v>4</v>
      </c>
      <c r="G105" s="36"/>
      <c r="H105" s="37"/>
      <c r="I105" s="45">
        <v>1600</v>
      </c>
      <c r="J105" s="46"/>
      <c r="K105" s="25" t="s">
        <v>26</v>
      </c>
      <c r="L105" s="25"/>
    </row>
    <row r="106" spans="5:12" ht="55.2" customHeight="1" x14ac:dyDescent="0.35">
      <c r="E106" s="24">
        <v>44512</v>
      </c>
      <c r="F106" s="35" t="s">
        <v>5</v>
      </c>
      <c r="G106" s="36"/>
      <c r="H106" s="37"/>
      <c r="I106" s="41">
        <v>600</v>
      </c>
      <c r="J106" s="42"/>
      <c r="K106" s="25" t="s">
        <v>27</v>
      </c>
      <c r="L106" s="25"/>
    </row>
    <row r="107" spans="5:12" ht="27.6" customHeight="1" x14ac:dyDescent="0.35">
      <c r="E107" s="24">
        <v>44515</v>
      </c>
      <c r="F107" s="35" t="s">
        <v>13</v>
      </c>
      <c r="G107" s="36"/>
      <c r="H107" s="37"/>
      <c r="I107" s="41">
        <v>900</v>
      </c>
      <c r="J107" s="42"/>
      <c r="K107" s="25" t="s">
        <v>27</v>
      </c>
      <c r="L107" s="25"/>
    </row>
    <row r="108" spans="5:12" ht="41.4" customHeight="1" x14ac:dyDescent="0.35">
      <c r="E108" s="24">
        <v>44515</v>
      </c>
      <c r="F108" s="35" t="s">
        <v>6</v>
      </c>
      <c r="G108" s="36"/>
      <c r="H108" s="37"/>
      <c r="I108" s="41">
        <v>150</v>
      </c>
      <c r="J108" s="42"/>
      <c r="K108" s="25" t="s">
        <v>27</v>
      </c>
      <c r="L108" s="25"/>
    </row>
    <row r="109" spans="5:12" ht="41.4" customHeight="1" x14ac:dyDescent="0.35">
      <c r="E109" s="24">
        <v>44515</v>
      </c>
      <c r="F109" s="35" t="s">
        <v>2</v>
      </c>
      <c r="G109" s="36"/>
      <c r="H109" s="37"/>
      <c r="I109" s="41">
        <v>2100</v>
      </c>
      <c r="J109" s="42"/>
      <c r="K109" s="25" t="s">
        <v>26</v>
      </c>
      <c r="L109" s="25"/>
    </row>
    <row r="110" spans="5:12" ht="55.2" customHeight="1" x14ac:dyDescent="0.35">
      <c r="E110" s="24">
        <v>44517</v>
      </c>
      <c r="F110" s="35" t="s">
        <v>11</v>
      </c>
      <c r="G110" s="36"/>
      <c r="H110" s="37"/>
      <c r="I110" s="41">
        <v>470.63</v>
      </c>
      <c r="J110" s="42"/>
      <c r="K110" s="25" t="s">
        <v>26</v>
      </c>
      <c r="L110" s="25"/>
    </row>
    <row r="111" spans="5:12" ht="27.6" customHeight="1" x14ac:dyDescent="0.35">
      <c r="E111" s="24">
        <v>44517</v>
      </c>
      <c r="F111" s="35" t="s">
        <v>9</v>
      </c>
      <c r="G111" s="36"/>
      <c r="H111" s="37"/>
      <c r="I111" s="41">
        <v>322.64</v>
      </c>
      <c r="J111" s="42"/>
      <c r="K111" s="25" t="s">
        <v>27</v>
      </c>
      <c r="L111" s="25"/>
    </row>
    <row r="112" spans="5:12" ht="27.6" customHeight="1" x14ac:dyDescent="0.35">
      <c r="E112" s="24">
        <v>44518</v>
      </c>
      <c r="F112" s="35" t="s">
        <v>8</v>
      </c>
      <c r="G112" s="36"/>
      <c r="H112" s="37"/>
      <c r="I112" s="41">
        <v>428</v>
      </c>
      <c r="J112" s="42"/>
      <c r="K112" s="25" t="s">
        <v>27</v>
      </c>
      <c r="L112" s="25"/>
    </row>
    <row r="113" spans="5:12" ht="41.4" customHeight="1" x14ac:dyDescent="0.35">
      <c r="E113" s="24">
        <v>44519</v>
      </c>
      <c r="F113" s="35" t="s">
        <v>5</v>
      </c>
      <c r="G113" s="36"/>
      <c r="H113" s="37"/>
      <c r="I113" s="41">
        <v>447</v>
      </c>
      <c r="J113" s="42"/>
      <c r="K113" s="25" t="s">
        <v>26</v>
      </c>
      <c r="L113" s="25"/>
    </row>
    <row r="114" spans="5:12" ht="41.4" customHeight="1" x14ac:dyDescent="0.35">
      <c r="E114" s="24">
        <v>44522</v>
      </c>
      <c r="F114" s="35" t="s">
        <v>4</v>
      </c>
      <c r="G114" s="36"/>
      <c r="H114" s="37"/>
      <c r="I114" s="45">
        <v>1720</v>
      </c>
      <c r="J114" s="46"/>
      <c r="K114" s="25" t="s">
        <v>26</v>
      </c>
      <c r="L114" s="25"/>
    </row>
    <row r="115" spans="5:12" ht="27.6" customHeight="1" x14ac:dyDescent="0.35">
      <c r="E115" s="24">
        <v>44524</v>
      </c>
      <c r="F115" s="35" t="s">
        <v>6</v>
      </c>
      <c r="G115" s="36"/>
      <c r="H115" s="37"/>
      <c r="I115" s="41">
        <v>540</v>
      </c>
      <c r="J115" s="42"/>
      <c r="K115" s="25" t="s">
        <v>27</v>
      </c>
      <c r="L115" s="25"/>
    </row>
    <row r="116" spans="5:12" ht="41.4" customHeight="1" x14ac:dyDescent="0.35">
      <c r="E116" s="24">
        <v>44525</v>
      </c>
      <c r="F116" s="35" t="s">
        <v>7</v>
      </c>
      <c r="G116" s="36"/>
      <c r="H116" s="37"/>
      <c r="I116" s="41">
        <v>314</v>
      </c>
      <c r="J116" s="42"/>
      <c r="K116" s="25" t="s">
        <v>27</v>
      </c>
      <c r="L116" s="25"/>
    </row>
    <row r="117" spans="5:12" ht="55.2" customHeight="1" x14ac:dyDescent="0.35">
      <c r="E117" s="24">
        <v>44526</v>
      </c>
      <c r="F117" s="35" t="s">
        <v>8</v>
      </c>
      <c r="G117" s="36"/>
      <c r="H117" s="37"/>
      <c r="I117" s="41">
        <v>518</v>
      </c>
      <c r="J117" s="42"/>
      <c r="K117" s="25" t="s">
        <v>26</v>
      </c>
      <c r="L117" s="25"/>
    </row>
    <row r="118" spans="5:12" ht="41.4" customHeight="1" x14ac:dyDescent="0.35">
      <c r="E118" s="24">
        <v>44526</v>
      </c>
      <c r="F118" s="35" t="s">
        <v>3</v>
      </c>
      <c r="G118" s="36"/>
      <c r="H118" s="37"/>
      <c r="I118" s="45">
        <v>2000</v>
      </c>
      <c r="J118" s="46"/>
      <c r="K118" s="25" t="s">
        <v>27</v>
      </c>
      <c r="L118" s="25"/>
    </row>
    <row r="119" spans="5:12" ht="27.6" customHeight="1" x14ac:dyDescent="0.35">
      <c r="E119" s="24">
        <v>44529</v>
      </c>
      <c r="F119" s="35" t="s">
        <v>7</v>
      </c>
      <c r="G119" s="36"/>
      <c r="H119" s="37"/>
      <c r="I119" s="41">
        <v>337</v>
      </c>
      <c r="J119" s="42"/>
      <c r="K119" s="25" t="s">
        <v>27</v>
      </c>
      <c r="L119" s="25"/>
    </row>
    <row r="120" spans="5:12" ht="41.4" customHeight="1" x14ac:dyDescent="0.35">
      <c r="E120" s="24">
        <v>44530</v>
      </c>
      <c r="F120" s="35" t="s">
        <v>8</v>
      </c>
      <c r="G120" s="36"/>
      <c r="H120" s="37"/>
      <c r="I120" s="41">
        <v>500</v>
      </c>
      <c r="J120" s="42"/>
      <c r="K120" s="25" t="s">
        <v>27</v>
      </c>
      <c r="L120" s="25"/>
    </row>
    <row r="121" spans="5:12" ht="55.2" customHeight="1" x14ac:dyDescent="0.35">
      <c r="E121" s="24">
        <v>44531</v>
      </c>
      <c r="F121" s="35" t="s">
        <v>4</v>
      </c>
      <c r="G121" s="36"/>
      <c r="H121" s="37"/>
      <c r="I121" s="45">
        <v>2500</v>
      </c>
      <c r="J121" s="46"/>
      <c r="K121" s="25" t="s">
        <v>26</v>
      </c>
      <c r="L121" s="25"/>
    </row>
    <row r="122" spans="5:12" ht="55.2" customHeight="1" x14ac:dyDescent="0.35">
      <c r="E122" s="24">
        <v>44534</v>
      </c>
      <c r="F122" s="35" t="s">
        <v>5</v>
      </c>
      <c r="G122" s="36"/>
      <c r="H122" s="37"/>
      <c r="I122" s="41">
        <v>710</v>
      </c>
      <c r="J122" s="42"/>
      <c r="K122" s="25" t="s">
        <v>27</v>
      </c>
      <c r="L122" s="25"/>
    </row>
    <row r="123" spans="5:12" ht="27.6" customHeight="1" x14ac:dyDescent="0.35">
      <c r="E123" s="24">
        <v>44537</v>
      </c>
      <c r="F123" s="35" t="s">
        <v>2</v>
      </c>
      <c r="G123" s="36"/>
      <c r="H123" s="37"/>
      <c r="I123" s="41">
        <v>2300</v>
      </c>
      <c r="J123" s="42"/>
      <c r="K123" s="25" t="s">
        <v>26</v>
      </c>
      <c r="L123" s="25"/>
    </row>
    <row r="124" spans="5:12" ht="27.6" customHeight="1" x14ac:dyDescent="0.35">
      <c r="E124" s="24">
        <v>44539</v>
      </c>
      <c r="F124" s="35" t="s">
        <v>12</v>
      </c>
      <c r="G124" s="36"/>
      <c r="H124" s="37"/>
      <c r="I124" s="41">
        <v>12000</v>
      </c>
      <c r="J124" s="42"/>
      <c r="K124" s="25" t="s">
        <v>26</v>
      </c>
      <c r="L124" s="25"/>
    </row>
    <row r="125" spans="5:12" ht="41.4" customHeight="1" x14ac:dyDescent="0.35">
      <c r="E125" s="24">
        <v>44545</v>
      </c>
      <c r="F125" s="35" t="s">
        <v>10</v>
      </c>
      <c r="G125" s="36"/>
      <c r="H125" s="37"/>
      <c r="I125" s="41">
        <v>1500</v>
      </c>
      <c r="J125" s="42"/>
      <c r="K125" s="25" t="s">
        <v>26</v>
      </c>
      <c r="L125" s="25"/>
    </row>
    <row r="126" spans="5:12" ht="55.2" customHeight="1" x14ac:dyDescent="0.35">
      <c r="E126" s="24">
        <v>44547</v>
      </c>
      <c r="F126" s="35" t="s">
        <v>11</v>
      </c>
      <c r="G126" s="36"/>
      <c r="H126" s="37"/>
      <c r="I126" s="41">
        <v>470.63</v>
      </c>
      <c r="J126" s="42"/>
      <c r="K126" s="25" t="s">
        <v>26</v>
      </c>
      <c r="L126" s="25"/>
    </row>
    <row r="127" spans="5:12" ht="27.6" customHeight="1" x14ac:dyDescent="0.35">
      <c r="E127" s="24">
        <v>44550</v>
      </c>
      <c r="F127" s="35" t="s">
        <v>7</v>
      </c>
      <c r="G127" s="36"/>
      <c r="H127" s="37"/>
      <c r="I127" s="41">
        <v>267</v>
      </c>
      <c r="J127" s="42"/>
      <c r="K127" s="25" t="s">
        <v>27</v>
      </c>
      <c r="L127" s="25"/>
    </row>
    <row r="128" spans="5:12" ht="27.6" customHeight="1" x14ac:dyDescent="0.35">
      <c r="E128" s="24">
        <v>44553</v>
      </c>
      <c r="F128" s="35" t="s">
        <v>6</v>
      </c>
      <c r="G128" s="36"/>
      <c r="H128" s="37"/>
      <c r="I128" s="41">
        <v>640</v>
      </c>
      <c r="J128" s="42"/>
      <c r="K128" s="25" t="s">
        <v>27</v>
      </c>
      <c r="L128" s="25"/>
    </row>
    <row r="129" spans="5:12" ht="41.4" customHeight="1" x14ac:dyDescent="0.35">
      <c r="E129" s="24">
        <v>44553</v>
      </c>
      <c r="F129" s="35" t="s">
        <v>5</v>
      </c>
      <c r="G129" s="36"/>
      <c r="H129" s="37"/>
      <c r="I129" s="41">
        <v>450</v>
      </c>
      <c r="J129" s="42"/>
      <c r="K129" s="25" t="s">
        <v>26</v>
      </c>
      <c r="L129" s="25"/>
    </row>
    <row r="130" spans="5:12" x14ac:dyDescent="0.3">
      <c r="E130" s="26"/>
      <c r="F130" s="38"/>
      <c r="G130" s="39"/>
      <c r="H130" s="40"/>
      <c r="I130" s="38">
        <v>57045.27</v>
      </c>
      <c r="J130" s="40"/>
      <c r="K130" s="27"/>
      <c r="L130" s="28"/>
    </row>
  </sheetData>
  <sortState xmlns:xlrd2="http://schemas.microsoft.com/office/spreadsheetml/2017/richdata2" ref="E44:F55">
    <sortCondition descending="1" ref="E43:E55"/>
  </sortState>
  <mergeCells count="168">
    <mergeCell ref="F18:G18"/>
    <mergeCell ref="F19:G19"/>
    <mergeCell ref="F20:G20"/>
    <mergeCell ref="F21:G21"/>
    <mergeCell ref="F22:G22"/>
    <mergeCell ref="E25:M25"/>
    <mergeCell ref="H46:I46"/>
    <mergeCell ref="H47:I47"/>
    <mergeCell ref="F39:G39"/>
    <mergeCell ref="F43:G43"/>
    <mergeCell ref="F44:G44"/>
    <mergeCell ref="H43:I43"/>
    <mergeCell ref="H44:I44"/>
    <mergeCell ref="H45:I45"/>
    <mergeCell ref="F32:G32"/>
    <mergeCell ref="F33:G33"/>
    <mergeCell ref="E41:R41"/>
    <mergeCell ref="F34:G34"/>
    <mergeCell ref="F35:G35"/>
    <mergeCell ref="F36:G36"/>
    <mergeCell ref="F37:G37"/>
    <mergeCell ref="F38:G38"/>
    <mergeCell ref="F27:G27"/>
    <mergeCell ref="F28:G28"/>
    <mergeCell ref="A1:U1"/>
    <mergeCell ref="E9:K9"/>
    <mergeCell ref="F11:G11"/>
    <mergeCell ref="F12:G12"/>
    <mergeCell ref="F13:G13"/>
    <mergeCell ref="F14:G14"/>
    <mergeCell ref="F15:G15"/>
    <mergeCell ref="F16:G16"/>
    <mergeCell ref="F17:G17"/>
    <mergeCell ref="F29:G29"/>
    <mergeCell ref="F30:G30"/>
    <mergeCell ref="F31:G31"/>
    <mergeCell ref="B77:S78"/>
    <mergeCell ref="F55:G55"/>
    <mergeCell ref="F54:G54"/>
    <mergeCell ref="F50:G50"/>
    <mergeCell ref="F51:G51"/>
    <mergeCell ref="F52:G52"/>
    <mergeCell ref="F53:G53"/>
    <mergeCell ref="F45:G45"/>
    <mergeCell ref="F46:G46"/>
    <mergeCell ref="F47:G47"/>
    <mergeCell ref="F48:G48"/>
    <mergeCell ref="F49:G49"/>
    <mergeCell ref="H52:I52"/>
    <mergeCell ref="E58:L58"/>
    <mergeCell ref="H53:I53"/>
    <mergeCell ref="H54:I54"/>
    <mergeCell ref="H55:I55"/>
    <mergeCell ref="H48:I48"/>
    <mergeCell ref="H49:I49"/>
    <mergeCell ref="H50:I50"/>
    <mergeCell ref="H51:I51"/>
    <mergeCell ref="F85:H85"/>
    <mergeCell ref="F86:H86"/>
    <mergeCell ref="F87:H87"/>
    <mergeCell ref="F88:H88"/>
    <mergeCell ref="F80:H80"/>
    <mergeCell ref="F81:H81"/>
    <mergeCell ref="F82:H82"/>
    <mergeCell ref="F83:H83"/>
    <mergeCell ref="F79:H79"/>
    <mergeCell ref="I88:J88"/>
    <mergeCell ref="F119:H119"/>
    <mergeCell ref="F120:H120"/>
    <mergeCell ref="F121:H121"/>
    <mergeCell ref="F122:H122"/>
    <mergeCell ref="F123:H123"/>
    <mergeCell ref="F114:H114"/>
    <mergeCell ref="F115:H115"/>
    <mergeCell ref="F116:H116"/>
    <mergeCell ref="F117:H117"/>
    <mergeCell ref="F118:H118"/>
    <mergeCell ref="F109:H109"/>
    <mergeCell ref="F110:H110"/>
    <mergeCell ref="F111:H111"/>
    <mergeCell ref="F112:H112"/>
    <mergeCell ref="F113:H113"/>
    <mergeCell ref="F104:H104"/>
    <mergeCell ref="F105:H105"/>
    <mergeCell ref="F106:H106"/>
    <mergeCell ref="F107:H107"/>
    <mergeCell ref="F108:H108"/>
    <mergeCell ref="F99:H99"/>
    <mergeCell ref="F100:H100"/>
    <mergeCell ref="F101:H101"/>
    <mergeCell ref="I79:J79"/>
    <mergeCell ref="I80:J80"/>
    <mergeCell ref="I81:J81"/>
    <mergeCell ref="I82:J82"/>
    <mergeCell ref="I83:J83"/>
    <mergeCell ref="I84:J84"/>
    <mergeCell ref="I85:J85"/>
    <mergeCell ref="I86:J86"/>
    <mergeCell ref="I87:J87"/>
    <mergeCell ref="I94:J94"/>
    <mergeCell ref="I95:J95"/>
    <mergeCell ref="I96:J96"/>
    <mergeCell ref="I97:J97"/>
    <mergeCell ref="I98:J98"/>
    <mergeCell ref="I89:J89"/>
    <mergeCell ref="I90:J90"/>
    <mergeCell ref="I91:J91"/>
    <mergeCell ref="I92:J92"/>
    <mergeCell ref="I93:J93"/>
    <mergeCell ref="I113:J113"/>
    <mergeCell ref="I104:J104"/>
    <mergeCell ref="I105:J105"/>
    <mergeCell ref="I106:J106"/>
    <mergeCell ref="I107:J107"/>
    <mergeCell ref="I108:J108"/>
    <mergeCell ref="I99:J99"/>
    <mergeCell ref="I100:J100"/>
    <mergeCell ref="I101:J101"/>
    <mergeCell ref="I102:J102"/>
    <mergeCell ref="I103:J103"/>
    <mergeCell ref="I127:J127"/>
    <mergeCell ref="I128:J128"/>
    <mergeCell ref="I129:J129"/>
    <mergeCell ref="I130:J130"/>
    <mergeCell ref="I126:J126"/>
    <mergeCell ref="F126:H126"/>
    <mergeCell ref="I124:J124"/>
    <mergeCell ref="I125:J125"/>
    <mergeCell ref="K79:L79"/>
    <mergeCell ref="K80:L80"/>
    <mergeCell ref="I119:J119"/>
    <mergeCell ref="I120:J120"/>
    <mergeCell ref="I121:J121"/>
    <mergeCell ref="I122:J122"/>
    <mergeCell ref="I123:J123"/>
    <mergeCell ref="I114:J114"/>
    <mergeCell ref="I115:J115"/>
    <mergeCell ref="I116:J116"/>
    <mergeCell ref="I117:J117"/>
    <mergeCell ref="I118:J118"/>
    <mergeCell ref="I109:J109"/>
    <mergeCell ref="I110:J110"/>
    <mergeCell ref="I111:J111"/>
    <mergeCell ref="I112:J112"/>
    <mergeCell ref="F60:G60"/>
    <mergeCell ref="F61:G61"/>
    <mergeCell ref="F62:G62"/>
    <mergeCell ref="F63:G63"/>
    <mergeCell ref="F64:G64"/>
    <mergeCell ref="F127:H127"/>
    <mergeCell ref="F128:H128"/>
    <mergeCell ref="F129:H129"/>
    <mergeCell ref="F130:H130"/>
    <mergeCell ref="F124:H124"/>
    <mergeCell ref="F125:H125"/>
    <mergeCell ref="F102:H102"/>
    <mergeCell ref="F103:H103"/>
    <mergeCell ref="F94:H94"/>
    <mergeCell ref="F95:H95"/>
    <mergeCell ref="F96:H96"/>
    <mergeCell ref="F97:H97"/>
    <mergeCell ref="F98:H98"/>
    <mergeCell ref="F89:H89"/>
    <mergeCell ref="F90:H90"/>
    <mergeCell ref="F91:H91"/>
    <mergeCell ref="F92:H92"/>
    <mergeCell ref="F93:H93"/>
    <mergeCell ref="F84:H84"/>
  </mergeCells>
  <dataValidations count="3">
    <dataValidation type="list" allowBlank="1" showInputMessage="1" showErrorMessage="1" errorTitle="Error" error="It is mendatory to select from the given options only" promptTitle="Information" prompt="Please Select from given options only." sqref="K81" xr:uid="{E889A1AC-E8C9-4A0A-AC75-066436B80BEF}">
      <formula1>"Non Essential"</formula1>
    </dataValidation>
    <dataValidation type="list" allowBlank="1" showInputMessage="1" showErrorMessage="1" sqref="K79" xr:uid="{756EADB8-D3B1-4DAD-9B88-28C2FB0C52C8}">
      <formula1>"Essential or non Essential"</formula1>
    </dataValidation>
    <dataValidation type="list" allowBlank="1" showInputMessage="1" showErrorMessage="1" errorTitle="Error" error="It is mendatory to select from the given options only" promptTitle="Information" prompt="Please Select from given options only." sqref="K80 K82:K129" xr:uid="{50C0F6EA-10DF-4E4D-80DF-44B168248B3D}">
      <formula1>"Essential, Non-Essential"</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Expense</vt:lpstr>
      <vt:lpstr>Tasks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Poulomi Paul</dc:creator>
  <cp:lastModifiedBy>Khushbu sanger</cp:lastModifiedBy>
  <cp:lastPrinted>2026-05-20T17:23:32Z</cp:lastPrinted>
  <dcterms:created xsi:type="dcterms:W3CDTF">2015-06-05T18:17:20Z</dcterms:created>
  <dcterms:modified xsi:type="dcterms:W3CDTF">2026-05-20T17:29:01Z</dcterms:modified>
</cp:coreProperties>
</file>